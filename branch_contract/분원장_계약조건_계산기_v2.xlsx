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1억 상환" sheetId="2" state="visible" r:id="rId4"/>
    <sheet name="가정" sheetId="3" state="visible" r:id="rId5"/>
    <sheet name="학생수별" sheetId="4" state="visible" r:id="rId6"/>
    <sheet name="민감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<sst xmlns="http://schemas.openxmlformats.org/spreadsheetml/2006/main" count="137" uniqueCount="124">
  <si>
    <r>
      <rPr>
        <b val="true"/>
        <sz val="14"/>
        <rFont val="WenQuanYi Zen Hei"/>
        <family val="2"/>
      </rPr>
      <t xml:space="preserve">분원장 계약 타당성 요약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월급 </t>
    </r>
    <r>
      <rPr>
        <b val="true"/>
        <sz val="14"/>
        <rFont val="Arial"/>
        <family val="0"/>
        <charset val="1"/>
      </rPr>
      <t xml:space="preserve">+ </t>
    </r>
    <r>
      <rPr>
        <b val="true"/>
        <sz val="14"/>
        <rFont val="WenQuanYi Zen Hei"/>
        <family val="2"/>
      </rPr>
      <t xml:space="preserve">순수익 배분</t>
    </r>
    <r>
      <rPr>
        <b val="true"/>
        <sz val="14"/>
        <rFont val="Arial"/>
        <family val="0"/>
        <charset val="1"/>
      </rPr>
      <t xml:space="preserve">)</t>
    </r>
  </si>
  <si>
    <t xml:space="preserve">항목</t>
  </si>
  <si>
    <t xml:space="preserve">값</t>
  </si>
  <si>
    <t xml:space="preserve">설명</t>
  </si>
  <si>
    <t xml:space="preserve">분석 기준 학생 수</t>
  </si>
  <si>
    <t xml:space="preserve">가정 시트에서 변경</t>
  </si>
  <si>
    <t xml:space="preserve">월 매출</t>
  </si>
  <si>
    <r>
      <rPr>
        <sz val="10"/>
        <rFont val="WenQuanYi Zen Hei"/>
        <family val="2"/>
      </rPr>
      <t xml:space="preserve">영업이익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분원장 급여 차감 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</si>
  <si>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매출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고정비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강사비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변동비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로열티</t>
    </r>
  </si>
  <si>
    <t xml:space="preserve">인센티브 기준이익</t>
  </si>
  <si>
    <r>
      <rPr>
        <sz val="9"/>
        <color rgb="FF595959"/>
        <rFont val="WenQuanYi Zen Hei"/>
        <family val="2"/>
      </rPr>
      <t xml:space="preserve">음수면 인센티브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</si>
  <si>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분원장 몫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순수익 </t>
    </r>
    <r>
      <rPr>
        <sz val="10"/>
        <rFont val="Arial"/>
        <family val="0"/>
        <charset val="1"/>
      </rPr>
      <t xml:space="preserve">x </t>
    </r>
    <r>
      <rPr>
        <sz val="10"/>
        <rFont val="WenQuanYi Zen Hei"/>
        <family val="2"/>
      </rPr>
      <t xml:space="preserve">배분율</t>
    </r>
    <r>
      <rPr>
        <sz val="10"/>
        <rFont val="Arial"/>
        <family val="0"/>
        <charset val="1"/>
      </rPr>
      <t xml:space="preserve">)</t>
    </r>
  </si>
  <si>
    <t xml:space="preserve">분원장 월 총보수</t>
  </si>
  <si>
    <r>
      <rPr>
        <sz val="9"/>
        <color rgb="FF595959"/>
        <rFont val="WenQuanYi Zen Hei"/>
        <family val="2"/>
      </rPr>
      <t xml:space="preserve">고정급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순수익 배분</t>
    </r>
  </si>
  <si>
    <r>
      <rPr>
        <sz val="10"/>
        <rFont val="WenQuanYi Zen Hei"/>
        <family val="2"/>
      </rPr>
      <t xml:space="preserve">분원장 연 총보수 </t>
    </r>
    <r>
      <rPr>
        <sz val="10"/>
        <rFont val="Arial"/>
        <family val="0"/>
        <charset val="1"/>
      </rPr>
      <t xml:space="preserve">(12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</si>
  <si>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퇴직금</t>
    </r>
    <r>
      <rPr>
        <sz val="9"/>
        <color rgb="FF595959"/>
        <rFont val="Arial"/>
        <family val="0"/>
        <charset val="1"/>
      </rPr>
      <t xml:space="preserve">·4</t>
    </r>
    <r>
      <rPr>
        <sz val="9"/>
        <color rgb="FF595959"/>
        <rFont val="WenQuanYi Zen Hei"/>
        <family val="2"/>
      </rPr>
      <t xml:space="preserve">대보험 사업주 부담분 제외</t>
    </r>
  </si>
  <si>
    <r>
      <rPr>
        <sz val="10"/>
        <rFont val="WenQuanYi Zen Hei"/>
        <family val="2"/>
      </rPr>
      <t xml:space="preserve">분원장 보수 비중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총보수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매출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</si>
  <si>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일반적으로 지점 매출의 </t>
    </r>
    <r>
      <rPr>
        <sz val="9"/>
        <color rgb="FF595959"/>
        <rFont val="Arial"/>
        <family val="0"/>
        <charset val="1"/>
      </rPr>
      <t xml:space="preserve">15~25% </t>
    </r>
    <r>
      <rPr>
        <sz val="9"/>
        <color rgb="FF595959"/>
        <rFont val="WenQuanYi Zen Hei"/>
        <family val="2"/>
      </rPr>
      <t xml:space="preserve">안팎이 부담 가능한 수준인지 검토</t>
    </r>
  </si>
  <si>
    <r>
      <rPr>
        <sz val="10"/>
        <rFont val="WenQuanYi Zen Hei"/>
        <family val="2"/>
      </rPr>
      <t xml:space="preserve">본사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운영주체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귀속 순이익</t>
    </r>
  </si>
  <si>
    <t xml:space="preserve">분원장 보수까지 준 뒤 남는 이익</t>
  </si>
  <si>
    <r>
      <rPr>
        <sz val="10"/>
        <rFont val="WenQuanYi Zen Hei"/>
        <family val="2"/>
      </rPr>
      <t xml:space="preserve">영업이익 중 분원장 몫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총보수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영업이익</t>
    </r>
    <r>
      <rPr>
        <sz val="10"/>
        <rFont val="Arial"/>
        <family val="0"/>
        <charset val="1"/>
      </rPr>
      <t xml:space="preserve">)</t>
    </r>
  </si>
  <si>
    <t xml:space="preserve">영업이익 중 분원장이 가져가는 비율</t>
  </si>
  <si>
    <t xml:space="preserve">분원장 환산 시급</t>
  </si>
  <si>
    <r>
      <rPr>
        <sz val="9"/>
        <color rgb="FF595959"/>
        <rFont val="WenQuanYi Zen Hei"/>
        <family val="2"/>
      </rPr>
      <t xml:space="preserve">월 총보수 </t>
    </r>
    <r>
      <rPr>
        <sz val="9"/>
        <color rgb="FF595959"/>
        <rFont val="Arial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월 근무시간</t>
    </r>
  </si>
  <si>
    <t xml:space="preserve">시장 분원장 보수 대비</t>
  </si>
  <si>
    <r>
      <rPr>
        <sz val="9"/>
        <color rgb="FF595959"/>
        <rFont val="WenQuanYi Zen Hei"/>
        <family val="2"/>
      </rPr>
      <t xml:space="preserve">가정 시트의 시장 비교값 대비 </t>
    </r>
    <r>
      <rPr>
        <sz val="9"/>
        <color rgb="FF595959"/>
        <rFont val="Arial"/>
        <family val="0"/>
        <charset val="1"/>
      </rPr>
      <t xml:space="preserve">+/-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</si>
  <si>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핵심 기준 인원</t>
    </r>
    <r>
      <rPr>
        <b val="true"/>
        <sz val="10"/>
        <rFont val="Arial"/>
        <family val="0"/>
        <charset val="1"/>
      </rPr>
      <t xml:space="preserve">]</t>
    </r>
  </si>
  <si>
    <t xml:space="preserve">순수익이 처음 발생하는 학생 수</t>
  </si>
  <si>
    <r>
      <rPr>
        <sz val="9"/>
        <color rgb="FF595959"/>
        <rFont val="WenQuanYi Zen Hei"/>
        <family val="2"/>
      </rPr>
      <t xml:space="preserve">이 인원 미만에선 순수익 배분이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원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적자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</si>
  <si>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본사 손익분기 학생 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분원장 보수 지급 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</si>
  <si>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이 인원 미만이면 본사가 적자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계약 지속 불가능</t>
    </r>
  </si>
  <si>
    <t xml:space="preserve">분원장 목표보수 달성 학생 수</t>
  </si>
  <si>
    <r>
      <rPr>
        <sz val="9"/>
        <color rgb="FF595959"/>
        <rFont val="WenQuanYi Zen Hei"/>
        <family val="2"/>
      </rPr>
      <t xml:space="preserve">가정 시트의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목표 월 총보수</t>
    </r>
    <r>
      <rPr>
        <sz val="9"/>
        <color rgb="FF595959"/>
        <rFont val="Arial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기준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</si>
  <si>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자동 판정</t>
    </r>
    <r>
      <rPr>
        <b val="true"/>
        <sz val="10"/>
        <rFont val="Arial"/>
        <family val="0"/>
        <charset val="1"/>
      </rPr>
      <t xml:space="preserve">]</t>
    </r>
  </si>
  <si>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억 상환 구간 시뮬레이션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본사 </t>
    </r>
    <r>
      <rPr>
        <b val="true"/>
        <sz val="14"/>
        <rFont val="Arial"/>
        <family val="0"/>
        <charset val="1"/>
      </rPr>
      <t xml:space="preserve">10% / </t>
    </r>
    <r>
      <rPr>
        <b val="true"/>
        <sz val="14"/>
        <rFont val="WenQuanYi Zen Hei"/>
        <family val="2"/>
      </rPr>
      <t xml:space="preserve">원장 </t>
    </r>
    <r>
      <rPr>
        <b val="true"/>
        <sz val="14"/>
        <rFont val="Arial"/>
        <family val="0"/>
        <charset val="1"/>
      </rPr>
      <t xml:space="preserve">90%)</t>
    </r>
  </si>
  <si>
    <r>
      <rPr>
        <i val="true"/>
        <sz val="9"/>
        <rFont val="WenQuanYi Zen Hei"/>
        <family val="2"/>
      </rPr>
      <t xml:space="preserve">해석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상환 기간 동안 순수익의 </t>
    </r>
    <r>
      <rPr>
        <i val="true"/>
        <sz val="9"/>
        <rFont val="Arial"/>
        <family val="0"/>
        <charset val="1"/>
      </rPr>
      <t xml:space="preserve">10%</t>
    </r>
    <r>
      <rPr>
        <i val="true"/>
        <sz val="9"/>
        <rFont val="WenQuanYi Zen Hei"/>
        <family val="2"/>
      </rPr>
      <t xml:space="preserve">가 본사로 가서 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WenQuanYi Zen Hei"/>
        <family val="2"/>
      </rPr>
      <t xml:space="preserve">억을 갚는 데 쓰이고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원장이 </t>
    </r>
    <r>
      <rPr>
        <i val="true"/>
        <sz val="9"/>
        <rFont val="Arial"/>
        <family val="0"/>
        <charset val="1"/>
      </rPr>
      <t xml:space="preserve">90%</t>
    </r>
    <r>
      <rPr>
        <i val="true"/>
        <sz val="9"/>
        <rFont val="WenQuanYi Zen Hei"/>
        <family val="2"/>
      </rPr>
      <t xml:space="preserve">를 가져간다고 가정했습니다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다르면 알려주세요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</si>
  <si>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입력</t>
    </r>
    <r>
      <rPr>
        <b val="true"/>
        <sz val="10"/>
        <rFont val="Arial"/>
        <family val="0"/>
        <charset val="1"/>
      </rPr>
      <t xml:space="preserve">]</t>
    </r>
  </si>
  <si>
    <t xml:space="preserve">상환 대상 금액</t>
  </si>
  <si>
    <r>
      <rPr>
        <sz val="9"/>
        <color rgb="FF595959"/>
        <rFont val="WenQuanYi Zen Hei"/>
        <family val="2"/>
      </rPr>
      <t xml:space="preserve">사용자 제시 </t>
    </r>
    <r>
      <rPr>
        <sz val="9"/>
        <color rgb="FF595959"/>
        <rFont val="Arial"/>
        <family val="0"/>
        <charset val="1"/>
      </rPr>
      <t xml:space="preserve">(1</t>
    </r>
    <r>
      <rPr>
        <sz val="9"/>
        <color rgb="FF595959"/>
        <rFont val="WenQuanYi Zen Hei"/>
        <family val="2"/>
      </rPr>
      <t xml:space="preserve">억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</si>
  <si>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상환 기한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</si>
  <si>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사용자 제시 </t>
    </r>
    <r>
      <rPr>
        <sz val="9"/>
        <color rgb="FF595959"/>
        <rFont val="Arial"/>
        <family val="0"/>
        <charset val="1"/>
      </rPr>
      <t xml:space="preserve">(1</t>
    </r>
    <r>
      <rPr>
        <sz val="9"/>
        <color rgb="FF595959"/>
        <rFont val="WenQuanYi Zen Hei"/>
        <family val="2"/>
      </rPr>
      <t xml:space="preserve">년</t>
    </r>
    <r>
      <rPr>
        <sz val="9"/>
        <color rgb="FF595959"/>
        <rFont val="Arial"/>
        <family val="0"/>
        <charset val="1"/>
      </rPr>
      <t xml:space="preserve">)</t>
    </r>
  </si>
  <si>
    <t xml:space="preserve">상환 후 본사 배분율</t>
  </si>
  <si>
    <r>
      <rPr>
        <sz val="9"/>
        <color rgb="FF595959"/>
        <rFont val="WenQuanYi Zen Hei"/>
        <family val="2"/>
      </rPr>
      <t xml:space="preserve">가정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미정이라 동일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WenQuanYi Zen Hei"/>
        <family val="2"/>
      </rPr>
      <t xml:space="preserve">유지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실제 조건으로 교체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</si>
  <si>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기준 학생 수 결과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</si>
  <si>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영업이익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</si>
  <si>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본사 월 수취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상환 재원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</si>
  <si>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원장 월 수입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영업이익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본사 몫</t>
    </r>
    <r>
      <rPr>
        <sz val="10"/>
        <rFont val="Arial"/>
        <family val="0"/>
        <charset val="1"/>
      </rPr>
      <t xml:space="preserve">)</t>
    </r>
  </si>
  <si>
    <t xml:space="preserve">상환 기한 내 누적 상환액</t>
  </si>
  <si>
    <t xml:space="preserve">기한 후 미상환 잔액</t>
  </si>
  <si>
    <t xml:space="preserve">완납까지 소요 개월</t>
  </si>
  <si>
    <t xml:space="preserve">기한 내 완납에 필요한 본사 월 수취액</t>
  </si>
  <si>
    <t xml:space="preserve">그 수취액을 만들기 위한 월 영업이익</t>
  </si>
  <si>
    <t xml:space="preserve">기한 내 완납 가능한 최소 학생 수</t>
  </si>
  <si>
    <t xml:space="preserve">기준 학생 수에서 기한 내 완납에 필요한 본사 배분율</t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</si>
  <si>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학생 수별 상환 가능성</t>
    </r>
    <r>
      <rPr>
        <b val="true"/>
        <sz val="10"/>
        <rFont val="Arial"/>
        <family val="0"/>
        <charset val="1"/>
      </rPr>
      <t xml:space="preserve">]</t>
    </r>
  </si>
  <si>
    <t xml:space="preserve">학생 수</t>
  </si>
  <si>
    <t xml:space="preserve">월 영업이익</t>
  </si>
  <si>
    <t xml:space="preserve">본사 월 수취</t>
  </si>
  <si>
    <t xml:space="preserve">원장 월 수입</t>
  </si>
  <si>
    <t xml:space="preserve">기한 내 누적 상환</t>
  </si>
  <si>
    <t xml:space="preserve">기한 후 잔액</t>
  </si>
  <si>
    <t xml:space="preserve">완납 소요 개월</t>
  </si>
  <si>
    <r>
      <rPr>
        <b val="true"/>
        <sz val="10"/>
        <color rgb="FFFFFFFF"/>
        <rFont val="WenQuanYi Zen Hei"/>
        <family val="2"/>
      </rPr>
      <t xml:space="preserve">기한 내 완납</t>
    </r>
    <r>
      <rPr>
        <b val="true"/>
        <sz val="10"/>
        <color rgb="FFFFFFFF"/>
        <rFont val="Arial"/>
        <family val="0"/>
        <charset val="1"/>
      </rPr>
      <t xml:space="preserve">?</t>
    </r>
  </si>
  <si>
    <r>
      <rPr>
        <b val="true"/>
        <sz val="14"/>
        <rFont val="WenQuanYi Zen Hei"/>
        <family val="2"/>
      </rPr>
      <t xml:space="preserve">분원장 계약 조건 시뮬레이터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가정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입력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</si>
  <si>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rFont val="WenQuanYi Zen Hei"/>
        <family val="2"/>
      </rPr>
      <t xml:space="preserve">파란 글씨 </t>
    </r>
    <r>
      <rPr>
        <i val="true"/>
        <sz val="9"/>
        <rFont val="Arial"/>
        <family val="0"/>
        <charset val="1"/>
      </rPr>
      <t xml:space="preserve">+ </t>
    </r>
    <r>
      <rPr>
        <i val="true"/>
        <sz val="9"/>
        <rFont val="WenQuanYi Zen Hei"/>
        <family val="2"/>
      </rPr>
      <t xml:space="preserve">노란 칸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직접 수정하는 입력값입니다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아래 수치는 모두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예시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이므로 실제 지점 수치로 교체하세요</t>
    </r>
    <r>
      <rPr>
        <i val="true"/>
        <sz val="9"/>
        <rFont val="Arial"/>
        <family val="0"/>
        <charset val="1"/>
      </rPr>
      <t xml:space="preserve">. (</t>
    </r>
    <r>
      <rPr>
        <i val="true"/>
        <sz val="9"/>
        <rFont val="WenQuanYi Zen Hei"/>
        <family val="2"/>
      </rPr>
      <t xml:space="preserve">단위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원</t>
    </r>
    <r>
      <rPr>
        <i val="true"/>
        <sz val="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</si>
  <si>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계약 조건</t>
    </r>
    <r>
      <rPr>
        <b val="true"/>
        <sz val="10"/>
        <rFont val="Arial"/>
        <family val="0"/>
        <charset val="1"/>
      </rPr>
      <t xml:space="preserve">]</t>
    </r>
  </si>
  <si>
    <t xml:space="preserve">분원장 월 고정급</t>
  </si>
  <si>
    <r>
      <rPr>
        <sz val="9"/>
        <color rgb="FF595959"/>
        <rFont val="WenQuanYi Zen Hei"/>
        <family val="2"/>
      </rPr>
      <t xml:space="preserve">변경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원장이 순수익 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WenQuanYi Zen Hei"/>
        <family val="2"/>
      </rPr>
      <t xml:space="preserve">를 가져가는 구조라 고정급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으로 가정 </t>
    </r>
    <r>
      <rPr>
        <sz val="9"/>
        <color rgb="FF595959"/>
        <rFont val="Arial"/>
        <family val="0"/>
        <charset val="1"/>
      </rPr>
      <t xml:space="preserve">(400</t>
    </r>
    <r>
      <rPr>
        <sz val="9"/>
        <color rgb="FF595959"/>
        <rFont val="WenQuanYi Zen Hei"/>
        <family val="2"/>
      </rPr>
      <t xml:space="preserve">만원 병행 시 입력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</si>
  <si>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순수익 배분율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분원장 몫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</si>
  <si>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변경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원장 </t>
    </r>
    <r>
      <rPr>
        <sz val="9"/>
        <color rgb="FF595959"/>
        <rFont val="Arial"/>
        <family val="0"/>
        <charset val="1"/>
      </rPr>
      <t xml:space="preserve">90% / </t>
    </r>
    <r>
      <rPr>
        <sz val="9"/>
        <color rgb="FF595959"/>
        <rFont val="WenQuanYi Zen Hei"/>
        <family val="2"/>
      </rPr>
      <t xml:space="preserve">본사 </t>
    </r>
    <r>
      <rPr>
        <sz val="9"/>
        <color rgb="FF595959"/>
        <rFont val="Arial"/>
        <family val="0"/>
        <charset val="1"/>
      </rPr>
      <t xml:space="preserve">10% (</t>
    </r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</si>
  <si>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인센티브 기준이익에서 고정급 차감</t>
    </r>
    <r>
      <rPr>
        <sz val="10"/>
        <rFont val="Arial"/>
        <family val="0"/>
        <charset val="1"/>
      </rPr>
      <t xml:space="preserve">? (1=</t>
    </r>
    <r>
      <rPr>
        <sz val="10"/>
        <rFont val="WenQuanYi Zen Hei"/>
        <family val="2"/>
      </rPr>
      <t xml:space="preserve">차감</t>
    </r>
    <r>
      <rPr>
        <sz val="10"/>
        <rFont val="Arial"/>
        <family val="0"/>
        <charset val="1"/>
      </rPr>
      <t xml:space="preserve">, 0=</t>
    </r>
    <r>
      <rPr>
        <sz val="10"/>
        <rFont val="WenQuanYi Zen Hei"/>
        <family val="2"/>
      </rPr>
      <t xml:space="preserve">차감 안 함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</si>
  <si>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이면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고정급까지 준 뒤 남은 순수익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의 </t>
    </r>
    <r>
      <rPr>
        <sz val="9"/>
        <color rgb="FF595959"/>
        <rFont val="Arial"/>
        <family val="0"/>
        <charset val="1"/>
      </rPr>
      <t xml:space="preserve">20%. 0</t>
    </r>
    <r>
      <rPr>
        <sz val="9"/>
        <color rgb="FF595959"/>
        <rFont val="WenQuanYi Zen Hei"/>
        <family val="2"/>
      </rPr>
      <t xml:space="preserve">이면 고정급 차감 전 이익의 </t>
    </r>
    <r>
      <rPr>
        <sz val="9"/>
        <color rgb="FF595959"/>
        <rFont val="Arial"/>
        <family val="0"/>
        <charset val="1"/>
      </rPr>
      <t xml:space="preserve">20%</t>
    </r>
  </si>
  <si>
    <r>
      <rPr>
        <sz val="10"/>
        <rFont val="WenQuanYi Zen Hei"/>
        <family val="2"/>
      </rPr>
      <t xml:space="preserve">분원장 월 근무시간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시급 환산용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</si>
  <si>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주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일 </t>
    </r>
    <r>
      <rPr>
        <sz val="9"/>
        <color rgb="FF595959"/>
        <rFont val="Arial"/>
        <family val="0"/>
        <charset val="1"/>
      </rPr>
      <t xml:space="preserve">x 9</t>
    </r>
    <r>
      <rPr>
        <sz val="9"/>
        <color rgb="FF595959"/>
        <rFont val="WenQuanYi Zen Hei"/>
        <family val="2"/>
      </rPr>
      <t xml:space="preserve">시간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4.3</t>
    </r>
    <r>
      <rPr>
        <sz val="9"/>
        <color rgb="FF595959"/>
        <rFont val="WenQuanYi Zen Hei"/>
        <family val="2"/>
      </rPr>
      <t xml:space="preserve">주 가정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</si>
  <si>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매출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</si>
  <si>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학생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월 수강료</t>
    </r>
  </si>
  <si>
    <r>
      <rPr>
        <sz val="9"/>
        <color rgb="FF595959"/>
        <rFont val="WenQuanYi Zen Hei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실제 수강료로 교체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</si>
  <si>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고정비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월</t>
    </r>
    <r>
      <rPr>
        <b val="true"/>
        <sz val="10"/>
        <rFont val="Arial"/>
        <family val="0"/>
        <charset val="1"/>
      </rPr>
      <t xml:space="preserve">)]</t>
    </r>
  </si>
  <si>
    <t xml:space="preserve">임대료</t>
  </si>
  <si>
    <t xml:space="preserve">예시값</t>
  </si>
  <si>
    <r>
      <rPr>
        <sz val="10"/>
        <rFont val="WenQuanYi Zen Hei"/>
        <family val="2"/>
      </rPr>
      <t xml:space="preserve">관리비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공과금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통신</t>
    </r>
  </si>
  <si>
    <r>
      <rPr>
        <sz val="10"/>
        <rFont val="WenQuanYi Zen Hei"/>
        <family val="2"/>
      </rPr>
      <t xml:space="preserve">행정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상담 직원 인건비</t>
    </r>
  </si>
  <si>
    <r>
      <rPr>
        <sz val="9"/>
        <color rgb="FF595959"/>
        <rFont val="WenQuanYi Zen Hei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없으면 </t>
    </r>
    <r>
      <rPr>
        <sz val="9"/>
        <color rgb="FF595959"/>
        <rFont val="Arial"/>
        <family val="0"/>
        <charset val="1"/>
      </rPr>
      <t xml:space="preserve">0)</t>
    </r>
  </si>
  <si>
    <r>
      <rPr>
        <sz val="10"/>
        <rFont val="WenQuanYi Zen Hei"/>
        <family val="2"/>
      </rPr>
      <t xml:space="preserve">마케팅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광고비</t>
    </r>
  </si>
  <si>
    <t xml:space="preserve">기타 고정비</t>
  </si>
  <si>
    <r>
      <rPr>
        <sz val="9"/>
        <color rgb="FF595959"/>
        <rFont val="WenQuanYi Zen Hei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보험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소프트웨어 등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</si>
  <si>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인력 구조</t>
    </r>
    <r>
      <rPr>
        <b val="true"/>
        <sz val="10"/>
        <rFont val="Arial"/>
        <family val="0"/>
        <charset val="1"/>
      </rPr>
      <t xml:space="preserve">]</t>
    </r>
  </si>
  <si>
    <t xml:space="preserve">분원장 직접 수업 가능 학생 수</t>
  </si>
  <si>
    <r>
      <rPr>
        <sz val="9"/>
        <color rgb="FF595959"/>
        <rFont val="WenQuanYi Zen Hei"/>
        <family val="2"/>
      </rPr>
      <t xml:space="preserve">분원장이 직접 가르쳐 강사 불필요한 인원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</si>
  <si>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강사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담당 학생 수</t>
    </r>
  </si>
  <si>
    <r>
      <rPr>
        <sz val="9"/>
        <color rgb="FF595959"/>
        <rFont val="WenQuanYi Zen Hei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학생 수 늘면 강사 계단식 증가</t>
    </r>
  </si>
  <si>
    <t xml:space="preserve">강사 월급</t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</si>
  <si>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변동비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</si>
  <si>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학생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교재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소모품비</t>
    </r>
  </si>
  <si>
    <r>
      <rPr>
        <sz val="10"/>
        <rFont val="WenQuanYi Zen Hei"/>
        <family val="2"/>
      </rPr>
      <t xml:space="preserve">매출 대비 변동비율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결제수수료 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</si>
  <si>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본사 로열티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매출 대비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</si>
  <si>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본사 로열티가 있다면 입력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이 경우 본사 몫 계산에서는 로열티 별도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</si>
  <si>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분석 기준</t>
    </r>
    <r>
      <rPr>
        <b val="true"/>
        <sz val="10"/>
        <rFont val="Arial"/>
        <family val="0"/>
        <charset val="1"/>
      </rPr>
      <t xml:space="preserve">]</t>
    </r>
  </si>
  <si>
    <t xml:space="preserve">요약 시트 기준 인원</t>
  </si>
  <si>
    <t xml:space="preserve">비교용 시장 분원장 월 총보수</t>
  </si>
  <si>
    <r>
      <rPr>
        <sz val="9"/>
        <color rgb="FF595959"/>
        <rFont val="WenQuanYi Zen Hei"/>
        <family val="2"/>
      </rPr>
      <t xml:space="preserve">동일 규모 타 지점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시장 분원장 평균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조사 후 교체</t>
    </r>
    <r>
      <rPr>
        <sz val="9"/>
        <color rgb="FF595959"/>
        <rFont val="Arial"/>
        <family val="0"/>
        <charset val="1"/>
      </rPr>
      <t xml:space="preserve">)</t>
    </r>
  </si>
  <si>
    <t xml:space="preserve">분원장 목표 월 총보수</t>
  </si>
  <si>
    <r>
      <rPr>
        <sz val="9"/>
        <color rgb="FF595959"/>
        <rFont val="WenQuanYi Zen Hei"/>
        <family val="2"/>
      </rPr>
      <t xml:space="preserve">이 금액 달성에 필요한 학생 수 계산용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</si>
  <si>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고정비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자동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</si>
  <si>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학생 수별 월 손익 및 분원장 보수 </t>
    </r>
    <r>
      <rPr>
        <b val="true"/>
        <sz val="14"/>
        <rFont val="Arial"/>
        <family val="0"/>
        <charset val="1"/>
      </rPr>
      <t xml:space="preserve">(1~200</t>
    </r>
    <r>
      <rPr>
        <b val="true"/>
        <sz val="14"/>
        <rFont val="WenQuanYi Zen Hei"/>
        <family val="2"/>
      </rPr>
      <t xml:space="preserve">명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</si>
  <si>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rFont val="WenQuanYi Zen Hei"/>
        <family val="2"/>
      </rPr>
      <t xml:space="preserve">모든 값은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가정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WenQuanYi Zen Hei"/>
        <family val="2"/>
      </rPr>
      <t xml:space="preserve">시트의 입력값으로 자동 계산됩니다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단위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원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WenQuanYi Zen Hei"/>
        <family val="2"/>
      </rPr>
      <t xml:space="preserve">월</t>
    </r>
  </si>
  <si>
    <t xml:space="preserve">고정비</t>
  </si>
  <si>
    <t xml:space="preserve">강사 수</t>
  </si>
  <si>
    <t xml:space="preserve">강사 인건비</t>
  </si>
  <si>
    <t xml:space="preserve">변동비</t>
  </si>
  <si>
    <t xml:space="preserve">본사 로열티</t>
  </si>
  <si>
    <r>
      <rPr>
        <b val="true"/>
        <sz val="10"/>
        <color rgb="FFFFFFFF"/>
        <rFont val="WenQuanYi Zen Hei"/>
        <family val="2"/>
      </rPr>
      <t xml:space="preserve">영업이익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분원장 급여 차감 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</si>
  <si>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분원장 인센티브</t>
  </si>
  <si>
    <r>
      <rPr>
        <b val="true"/>
        <sz val="10"/>
        <color rgb="FFFFFFFF"/>
        <rFont val="WenQuanYi Zen Hei"/>
        <family val="2"/>
      </rPr>
      <t xml:space="preserve">본사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운영주체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WenQuanYi Zen Hei"/>
        <family val="2"/>
      </rPr>
      <t xml:space="preserve">귀속 순이익</t>
    </r>
  </si>
  <si>
    <r>
      <rPr>
        <b val="true"/>
        <sz val="10"/>
        <color rgb="FFFFFFFF"/>
        <rFont val="WenQuanYi Zen Hei"/>
        <family val="2"/>
      </rPr>
      <t xml:space="preserve">분원장 총보수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매출</t>
    </r>
  </si>
  <si>
    <r>
      <rPr>
        <b val="true"/>
        <sz val="10"/>
        <color rgb="FFFFFFFF"/>
        <rFont val="WenQuanYi Zen Hei"/>
        <family val="2"/>
      </rPr>
      <t xml:space="preserve">인센티브 발생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</si>
  <si>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본사 흑자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</si>
  <si>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목표보수 달성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</si>
  <si>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개월 내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억 완납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</si>
  <si>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분원장 월 총보수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학생 수 </t>
    </r>
    <r>
      <rPr>
        <b val="true"/>
        <sz val="14"/>
        <rFont val="Arial"/>
        <family val="0"/>
        <charset val="1"/>
      </rPr>
      <t xml:space="preserve">x </t>
    </r>
    <r>
      <rPr>
        <b val="true"/>
        <sz val="14"/>
        <rFont val="WenQuanYi Zen Hei"/>
        <family val="2"/>
      </rPr>
      <t xml:space="preserve">배분율</t>
    </r>
  </si>
  <si>
    <r>
      <rPr>
        <i val="true"/>
        <sz val="9"/>
        <rFont val="WenQuanYi Zen Hei"/>
        <family val="2"/>
      </rPr>
      <t xml:space="preserve">고정급은 가정 시트 값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인센티브 차감 방식도 가정 시트를 따릅니다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배분율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노란 칸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은 직접 변경 가능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</si>
  <si>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배분율 </t>
    </r>
    <r>
      <rPr>
        <b val="true"/>
        <sz val="10"/>
        <color rgb="FFFFFFFF"/>
        <rFont val="Arial"/>
        <family val="0"/>
        <charset val="1"/>
      </rPr>
      <t xml:space="preserve">\ </t>
    </r>
    <r>
      <rPr>
        <b val="true"/>
        <sz val="10"/>
        <color rgb="FFFFFFFF"/>
        <rFont val="WenQuanYi Zen Hei"/>
        <family val="2"/>
      </rPr>
      <t xml:space="preserve">학생 수</t>
    </r>
  </si>
  <si>
    <r>
      <rPr>
        <b val="true"/>
        <sz val="10"/>
        <rFont val="WenQuanYi Zen Hei"/>
        <family val="2"/>
      </rPr>
      <t xml:space="preserve">학생 수별 본사 귀속 순이익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분원장 보수 지급 후</t>
    </r>
    <r>
      <rPr>
        <b val="true"/>
        <sz val="10"/>
        <rFont val="Arial"/>
        <family val="0"/>
        <charset val="1"/>
      </rPr>
      <t xml:space="preserve">)</t>
    </r>
  </si>
  <si>
    <t xml:space="preserve">현재 계약 기준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</si>
</sst>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;\(#,##0\);\-"/>
    <numFmt numFmtId="167" formatCode="0.0%"/>
    <numFmt numFmtId="168" formatCode="0"/>
    <numFmt numFmtId="169" formatCode="0%"/>
    <numFmt numFmtId="170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10"/>
      <name val="WenQuanYi Zen Hei"/>
      <family val="2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9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"계약 조건: 월 고정급 "&amp;TEXT(가정!$B$5,"#,##0")&amp;"원 + 순수익의 "&amp;TEXT(가정!$B$6,"0%")&amp;IF(가정!$B$7=1," (고정급 차감 후 순수익 기준)"," (고정급 차감 전 이익 기준)")</f>
        <v>계약 조건: 월 고정급 0원 + 순수익의 90% (고정급 차감 후 순수익 기준)</v>
      </c>
    </row>
    <row r="4" customFormat="false" ht="15" hidden="false" customHeight="false" outlineLevel="0" collapsed="false">
      <c r="A4" s="3" t="s">
        <v>1</v>
      </c>
      <c r="B4" s="3" t="s">
        <v>2</v>
      </c>
      <c r="C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가정!$B$26</f>
        <v>80</v>
      </c>
      <c r="C5" s="6" t="s">
        <v>5</v>
      </c>
    </row>
    <row r="6" customFormat="false" ht="15" hidden="false" customHeight="false" outlineLevel="0" collapsed="false">
      <c r="A6" s="4" t="s">
        <v>6</v>
      </c>
      <c r="B6" s="7" t="n">
        <f aca="false">INDEX(학생수별!$B$5:$B$204,MATCH(가정!$B$26,학생수별!$A$5:$A$204,0))</f>
        <v>24000000</v>
      </c>
      <c r="C6" s="6"/>
    </row>
    <row r="7" customFormat="false" ht="15" hidden="false" customHeight="false" outlineLevel="0" collapsed="false">
      <c r="A7" s="4" t="s">
        <v>7</v>
      </c>
      <c r="B7" s="7" t="n">
        <f aca="false">INDEX(학생수별!$H$5:$H$204,MATCH(가정!$B$26,학생수별!$A$5:$A$204,0))</f>
        <v>7880000</v>
      </c>
      <c r="C7" s="6" t="s">
        <v>8</v>
      </c>
    </row>
    <row r="8" customFormat="false" ht="15" hidden="false" customHeight="false" outlineLevel="0" collapsed="false">
      <c r="A8" s="4" t="s">
        <v>9</v>
      </c>
      <c r="B8" s="7" t="n">
        <f aca="false">INDEX(학생수별!$I$5:$I$204,MATCH(가정!$B$26,학생수별!$A$5:$A$204,0))</f>
        <v>7880000</v>
      </c>
      <c r="C8" s="6" t="s">
        <v>10</v>
      </c>
    </row>
    <row r="9" customFormat="false" ht="15" hidden="false" customHeight="false" outlineLevel="0" collapsed="false">
      <c r="A9" s="4" t="s">
        <v>11</v>
      </c>
      <c r="B9" s="7" t="n">
        <f aca="false">INDEX(학생수별!$J$5:$J$204,MATCH(가정!$B$26,학생수별!$A$5:$A$204,0))</f>
        <v>7092000</v>
      </c>
      <c r="C9" s="6"/>
    </row>
    <row r="10" customFormat="false" ht="15" hidden="false" customHeight="false" outlineLevel="0" collapsed="false">
      <c r="A10" s="4" t="s">
        <v>12</v>
      </c>
      <c r="B10" s="7" t="n">
        <f aca="false">INDEX(학생수별!$K$5:$K$204,MATCH(가정!$B$26,학생수별!$A$5:$A$204,0))</f>
        <v>7092000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7" t="n">
        <f aca="false">B10*12</f>
        <v>85104000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8" t="n">
        <f aca="false">INDEX(학생수별!$M$5:$M$204,MATCH(가정!$B$26,학생수별!$A$5:$A$204,0))</f>
        <v>0.2955</v>
      </c>
      <c r="C12" s="6" t="s">
        <v>17</v>
      </c>
    </row>
    <row r="13" customFormat="false" ht="15" hidden="false" customHeight="false" outlineLevel="0" collapsed="false">
      <c r="A13" s="4" t="s">
        <v>18</v>
      </c>
      <c r="B13" s="7" t="n">
        <f aca="false">INDEX(학생수별!$L$5:$L$204,MATCH(가정!$B$26,학생수별!$A$5:$A$204,0))</f>
        <v>788000</v>
      </c>
      <c r="C13" s="6" t="s">
        <v>19</v>
      </c>
    </row>
    <row r="14" customFormat="false" ht="15" hidden="false" customHeight="false" outlineLevel="0" collapsed="false">
      <c r="A14" s="4" t="s">
        <v>20</v>
      </c>
      <c r="B14" s="8" t="n">
        <f aca="false">IF(B7&lt;=0,0,B10/B7)</f>
        <v>0.9</v>
      </c>
      <c r="C14" s="6" t="s">
        <v>21</v>
      </c>
    </row>
    <row r="15" customFormat="false" ht="15" hidden="false" customHeight="false" outlineLevel="0" collapsed="false">
      <c r="A15" s="4" t="s">
        <v>22</v>
      </c>
      <c r="B15" s="7" t="n">
        <f aca="false">INDEX(학생수별!$N$5:$N$204,MATCH(가정!$B$26,학생수별!$A$5:$A$204,0))</f>
        <v>35460</v>
      </c>
      <c r="C15" s="6" t="s">
        <v>23</v>
      </c>
    </row>
    <row r="16" customFormat="false" ht="15" hidden="false" customHeight="false" outlineLevel="0" collapsed="false">
      <c r="A16" s="4" t="s">
        <v>24</v>
      </c>
      <c r="B16" s="8" t="n">
        <f aca="false">B10/가정!$B$27-1</f>
        <v>0.4184</v>
      </c>
      <c r="C16" s="6" t="s">
        <v>25</v>
      </c>
    </row>
    <row r="17" customFormat="false" ht="15" hidden="false" customHeight="false" outlineLevel="0" collapsed="false">
      <c r="A17" s="9" t="s">
        <v>26</v>
      </c>
      <c r="B17" s="10"/>
      <c r="C17" s="10"/>
    </row>
    <row r="18" customFormat="false" ht="15" hidden="false" customHeight="false" outlineLevel="0" collapsed="false">
      <c r="A18" s="4" t="s">
        <v>27</v>
      </c>
      <c r="B18" s="5" t="n">
        <f aca="false">IF(COUNT(학생수별!$O$5:$O$204)=0,"200명 초과",MIN(학생수별!$O$5:$O$204))</f>
        <v>42</v>
      </c>
      <c r="C18" s="6" t="s">
        <v>28</v>
      </c>
    </row>
    <row r="19" customFormat="false" ht="15" hidden="false" customHeight="false" outlineLevel="0" collapsed="false">
      <c r="A19" s="4" t="s">
        <v>29</v>
      </c>
      <c r="B19" s="5" t="n">
        <f aca="false">IF(COUNT(학생수별!$P$5:$P$204)=0,"200명 초과",MIN(학생수별!$P$5:$P$204))</f>
        <v>42</v>
      </c>
      <c r="C19" s="6" t="s">
        <v>30</v>
      </c>
    </row>
    <row r="20" customFormat="false" ht="15" hidden="false" customHeight="false" outlineLevel="0" collapsed="false">
      <c r="A20" s="4" t="s">
        <v>31</v>
      </c>
      <c r="B20" s="5" t="n">
        <f aca="false">IF(COUNT(학생수별!$Q$5:$Q$204)=0,"200명 초과",MIN(학생수별!$Q$5:$Q$204))</f>
        <v>76</v>
      </c>
      <c r="C20" s="6" t="s">
        <v>32</v>
      </c>
    </row>
    <row r="22" customFormat="false" ht="15" hidden="false" customHeight="false" outlineLevel="0" collapsed="false">
      <c r="A22" s="9" t="s">
        <v>33</v>
      </c>
      <c r="B22" s="10"/>
      <c r="C22" s="10"/>
    </row>
    <row r="23" customFormat="false" ht="31.5" hidden="false" customHeight="true" outlineLevel="0" collapsed="false">
      <c r="A23" s="11" t="str">
        <f aca="false">IF(B7&lt;=0,"기준 인원에서 영업이익이 이미 적자입니다. 400만원 고정급 자체가 지점에 부담입니다.",IF(B13&lt;0,"기준 인원에서 본사가 적자입니다 (분원장 보수 &gt; 영업이익). 계약 조건 재검토 필요.","기준 인원에서 본사 흑자 - 계약 유지 가능."))</f>
        <v>기준 인원에서 본사 흑자 - 계약 유지 가능.</v>
      </c>
      <c r="B23" s="11"/>
      <c r="C23" s="11"/>
    </row>
    <row r="24" customFormat="false" ht="31.5" hidden="false" customHeight="true" outlineLevel="0" collapsed="false">
      <c r="A24" s="11" t="str">
        <f aca="false">IF(B9=0,"기준 인원에서는 순수익 배분이 0원입니다. 학생 수가 "&amp;B18&amp;"명을 넘어야 순수익이 생깁니다.","기준 인원에서 원장 순수익 배분 "&amp;TEXT(B9,"#,##0")&amp;"원 발생, 총보수는 시장 대비 "&amp;TEXT(B16,"+0%;-0%")&amp;".")</f>
        <v>기준 인원에서 원장 순수익 배분 7,092,000원 발생, 총보수는 시장 대비 +42%.</v>
      </c>
      <c r="B24" s="11"/>
      <c r="C24" s="11"/>
    </row>
    <row r="25" customFormat="false" ht="31.5" hidden="false" customHeight="true" outlineLevel="0" collapsed="false">
      <c r="A25" s="11" t="str">
        <f aca="false">IF(B12&gt;0.3,"분원장 보수가 매출의 30%를 넘어 과다합니다.",IF(B12&lt;0.1,"분원장 보수가 매출의 10% 미만으로 분원장 입장에서 동기부여가 약할 수 있습니다.","분원장 보수 비중이 통상적인 범위(10~30%)입니다."))</f>
        <v>분원장 보수 비중이 통상적인 범위(10~30%)입니다.</v>
      </c>
      <c r="B25" s="11"/>
      <c r="C25" s="11"/>
    </row>
    <row r="26" customFormat="false" ht="31.5" hidden="false" customHeight="true" outlineLevel="0" collapsed="false">
      <c r="A26" s="11" t="str">
        <f aca="false">"참고: 순수익 배분 구조는 학생 수가 늘수록 커지는 구조라 분원장 성장 동기가 되지만, 고정급이 있으면 손익분기까지의 위험을 본사가 지고, 고정급 0이면 적자 위험은 원장이 집니다. 1억 상환 시트에서 상환 가능성을 확인하세요."</f>
        <v>참고: 순수익 배분 구조는 학생 수가 늘수록 커지는 구조라 분원장 성장 동기가 되지만, 고정급이 있으면 손익분기까지의 위험을 본사가 지고, 고정급 0이면 적자 위험은 원장이 집니다. 1억 상환 시트에서 상환 가능성을 확인하세요.</v>
      </c>
      <c r="B26" s="11"/>
      <c r="C26" s="11"/>
    </row>
  </sheetData>
  <mergeCells count="4">
    <mergeCell ref="A23:C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8" min="4" style="0" width="18"/>
  </cols>
  <sheetData>
    <row r="1" customFormat="false" ht="19.4" hidden="false" customHeight="false" outlineLevel="0" collapsed="false">
      <c r="A1" s="12" t="s">
        <v>34</v>
      </c>
    </row>
    <row r="2" customFormat="false" ht="15" hidden="false" customHeight="false" outlineLevel="0" collapsed="false">
      <c r="A2" s="13" t="s">
        <v>35</v>
      </c>
    </row>
    <row r="4" customFormat="false" ht="15" hidden="false" customHeight="false" outlineLevel="0" collapsed="false">
      <c r="A4" s="14" t="s">
        <v>36</v>
      </c>
    </row>
    <row r="5" customFormat="false" ht="15" hidden="false" customHeight="false" outlineLevel="0" collapsed="false">
      <c r="A5" s="4" t="s">
        <v>37</v>
      </c>
      <c r="B5" s="15" t="n">
        <v>100000000</v>
      </c>
      <c r="C5" s="6" t="s">
        <v>38</v>
      </c>
    </row>
    <row r="6" customFormat="false" ht="15" hidden="false" customHeight="false" outlineLevel="0" collapsed="false">
      <c r="A6" s="4" t="s">
        <v>39</v>
      </c>
      <c r="B6" s="16" t="n">
        <v>12</v>
      </c>
      <c r="C6" s="6" t="s">
        <v>40</v>
      </c>
    </row>
    <row r="7" customFormat="false" ht="15" hidden="false" customHeight="false" outlineLevel="0" collapsed="false">
      <c r="A7" s="4" t="s">
        <v>41</v>
      </c>
      <c r="B7" s="17" t="n">
        <v>0.1</v>
      </c>
      <c r="C7" s="6" t="s">
        <v>42</v>
      </c>
    </row>
    <row r="9" customFormat="false" ht="15" hidden="false" customHeight="false" outlineLevel="0" collapsed="false">
      <c r="A9" s="14" t="s">
        <v>43</v>
      </c>
    </row>
    <row r="10" customFormat="false" ht="15" hidden="false" customHeight="false" outlineLevel="0" collapsed="false">
      <c r="A10" s="4" t="s">
        <v>4</v>
      </c>
      <c r="B10" s="7" t="n">
        <f aca="false">가정!$B$26</f>
        <v>80</v>
      </c>
    </row>
    <row r="11" customFormat="false" ht="15" hidden="false" customHeight="false" outlineLevel="0" collapsed="false">
      <c r="A11" s="4" t="s">
        <v>44</v>
      </c>
      <c r="B11" s="7" t="n">
        <f aca="false">INDEX(학생수별!$H$5:$H$204,MATCH(가정!$B$26,학생수별!$A$5:$A$204,0))</f>
        <v>7880000</v>
      </c>
    </row>
    <row r="12" customFormat="false" ht="15" hidden="false" customHeight="false" outlineLevel="0" collapsed="false">
      <c r="A12" s="4" t="s">
        <v>45</v>
      </c>
      <c r="B12" s="7" t="n">
        <f aca="false">MAX(0,INDEX(학생수별!$I$5:$I$204,MATCH(가정!$B$26,학생수별!$A$5:$A$204,0)))*(1-가정!$B$6)</f>
        <v>788000</v>
      </c>
    </row>
    <row r="13" customFormat="false" ht="15" hidden="false" customHeight="false" outlineLevel="0" collapsed="false">
      <c r="A13" s="4" t="s">
        <v>46</v>
      </c>
      <c r="B13" s="7" t="n">
        <f aca="false">B11-B12</f>
        <v>7092000</v>
      </c>
    </row>
    <row r="14" customFormat="false" ht="15" hidden="false" customHeight="false" outlineLevel="0" collapsed="false">
      <c r="A14" s="4" t="s">
        <v>47</v>
      </c>
      <c r="B14" s="7" t="n">
        <f aca="false">B12*B6</f>
        <v>9456000</v>
      </c>
    </row>
    <row r="15" customFormat="false" ht="15" hidden="false" customHeight="false" outlineLevel="0" collapsed="false">
      <c r="A15" s="4" t="s">
        <v>48</v>
      </c>
      <c r="B15" s="7" t="n">
        <f aca="false">MAX(0,B5-B14)</f>
        <v>90544000</v>
      </c>
    </row>
    <row r="16" customFormat="false" ht="15" hidden="false" customHeight="false" outlineLevel="0" collapsed="false">
      <c r="A16" s="4" t="s">
        <v>49</v>
      </c>
      <c r="B16" s="18" t="n">
        <f aca="false">IF(B12&gt;0,B5/B12,"상환 불가(이익 없음)")</f>
        <v>126.903553299492</v>
      </c>
    </row>
    <row r="17" customFormat="false" ht="15" hidden="false" customHeight="false" outlineLevel="0" collapsed="false">
      <c r="A17" s="4" t="s">
        <v>50</v>
      </c>
      <c r="B17" s="7" t="n">
        <f aca="false">B5/B6</f>
        <v>8333333.33333333</v>
      </c>
    </row>
    <row r="18" customFormat="false" ht="15" hidden="false" customHeight="false" outlineLevel="0" collapsed="false">
      <c r="A18" s="4" t="s">
        <v>51</v>
      </c>
      <c r="B18" s="7" t="n">
        <f aca="false">B17/(1-가정!$B$6)</f>
        <v>83333333.3333333</v>
      </c>
    </row>
    <row r="19" customFormat="false" ht="15" hidden="false" customHeight="false" outlineLevel="0" collapsed="false">
      <c r="A19" s="4" t="s">
        <v>52</v>
      </c>
      <c r="B19" s="7" t="str">
        <f aca="false">IF(COUNT(학생수별!$R$5:$R$204)=0,"200명 초과",MIN(학생수별!$R$5:$R$204))</f>
        <v>200명 초과</v>
      </c>
    </row>
    <row r="20" customFormat="false" ht="15" hidden="false" customHeight="false" outlineLevel="0" collapsed="false">
      <c r="A20" s="4" t="s">
        <v>53</v>
      </c>
      <c r="B20" s="8" t="n">
        <f aca="false">IF(B11&lt;=0,"이익 없음",MIN(1,B17/B11))</f>
        <v>1</v>
      </c>
    </row>
    <row r="22" customFormat="false" ht="15" hidden="false" customHeight="false" outlineLevel="0" collapsed="false">
      <c r="A22" s="14" t="s">
        <v>54</v>
      </c>
    </row>
    <row r="23" customFormat="false" ht="15" hidden="false" customHeight="false" outlineLevel="0" collapsed="false">
      <c r="A23" s="3" t="s">
        <v>55</v>
      </c>
      <c r="B23" s="3" t="s">
        <v>56</v>
      </c>
      <c r="C23" s="3" t="s">
        <v>57</v>
      </c>
      <c r="D23" s="3" t="s">
        <v>58</v>
      </c>
      <c r="E23" s="3" t="s">
        <v>59</v>
      </c>
      <c r="F23" s="3" t="s">
        <v>60</v>
      </c>
      <c r="G23" s="3" t="s">
        <v>61</v>
      </c>
      <c r="H23" s="3" t="s">
        <v>62</v>
      </c>
    </row>
    <row r="24" customFormat="false" ht="15" hidden="false" customHeight="false" outlineLevel="0" collapsed="false">
      <c r="A24" s="7" t="n">
        <v>20</v>
      </c>
      <c r="B24" s="7" t="n">
        <f aca="false">INDEX(학생수별!$H$5:$H$204,MATCH(A24,학생수별!$A$5:$A$204,0))</f>
        <v>-3080000</v>
      </c>
      <c r="C24" s="7" t="n">
        <f aca="false">MAX(0,INDEX(학생수별!$I$5:$I$204,MATCH(A24,학생수별!$A$5:$A$204,0)))*(1-가정!$B$6)</f>
        <v>0</v>
      </c>
      <c r="D24" s="7" t="n">
        <f aca="false">B24-C24</f>
        <v>-3080000</v>
      </c>
      <c r="E24" s="7" t="n">
        <f aca="false">C24*$B$6</f>
        <v>0</v>
      </c>
      <c r="F24" s="7" t="n">
        <f aca="false">MAX(0,$B$5-E24)</f>
        <v>100000000</v>
      </c>
      <c r="G24" s="18" t="str">
        <f aca="false">IF(C24&gt;0,$B$5/C24,"불가")</f>
        <v>불가</v>
      </c>
      <c r="H24" s="7" t="str">
        <f aca="false">IF(F24=0,"예","아니오")</f>
        <v>아니오</v>
      </c>
    </row>
    <row r="25" customFormat="false" ht="15" hidden="false" customHeight="false" outlineLevel="0" collapsed="false">
      <c r="A25" s="7" t="n">
        <v>30</v>
      </c>
      <c r="B25" s="7" t="n">
        <f aca="false">INDEX(학생수별!$H$5:$H$204,MATCH(A25,학생수별!$A$5:$A$204,0))</f>
        <v>-3120000</v>
      </c>
      <c r="C25" s="7" t="n">
        <f aca="false">MAX(0,INDEX(학생수별!$I$5:$I$204,MATCH(A25,학생수별!$A$5:$A$204,0)))*(1-가정!$B$6)</f>
        <v>0</v>
      </c>
      <c r="D25" s="7" t="n">
        <f aca="false">B25-C25</f>
        <v>-3120000</v>
      </c>
      <c r="E25" s="7" t="n">
        <f aca="false">C25*$B$6</f>
        <v>0</v>
      </c>
      <c r="F25" s="7" t="n">
        <f aca="false">MAX(0,$B$5-E25)</f>
        <v>100000000</v>
      </c>
      <c r="G25" s="18" t="str">
        <f aca="false">IF(C25&gt;0,$B$5/C25,"불가")</f>
        <v>불가</v>
      </c>
      <c r="H25" s="7" t="str">
        <f aca="false">IF(F25=0,"예","아니오")</f>
        <v>아니오</v>
      </c>
    </row>
    <row r="26" customFormat="false" ht="15" hidden="false" customHeight="false" outlineLevel="0" collapsed="false">
      <c r="A26" s="7" t="n">
        <v>40</v>
      </c>
      <c r="B26" s="7" t="n">
        <f aca="false">INDEX(학생수별!$H$5:$H$204,MATCH(A26,학생수별!$A$5:$A$204,0))</f>
        <v>-360000</v>
      </c>
      <c r="C26" s="7" t="n">
        <f aca="false">MAX(0,INDEX(학생수별!$I$5:$I$204,MATCH(A26,학생수별!$A$5:$A$204,0)))*(1-가정!$B$6)</f>
        <v>0</v>
      </c>
      <c r="D26" s="7" t="n">
        <f aca="false">B26-C26</f>
        <v>-360000</v>
      </c>
      <c r="E26" s="7" t="n">
        <f aca="false">C26*$B$6</f>
        <v>0</v>
      </c>
      <c r="F26" s="7" t="n">
        <f aca="false">MAX(0,$B$5-E26)</f>
        <v>100000000</v>
      </c>
      <c r="G26" s="18" t="str">
        <f aca="false">IF(C26&gt;0,$B$5/C26,"불가")</f>
        <v>불가</v>
      </c>
      <c r="H26" s="7" t="str">
        <f aca="false">IF(F26=0,"예","아니오")</f>
        <v>아니오</v>
      </c>
    </row>
    <row r="27" customFormat="false" ht="15" hidden="false" customHeight="false" outlineLevel="0" collapsed="false">
      <c r="A27" s="7" t="n">
        <v>50</v>
      </c>
      <c r="B27" s="7" t="n">
        <f aca="false">INDEX(학생수별!$H$5:$H$204,MATCH(A27,학생수별!$A$5:$A$204,0))</f>
        <v>2400000</v>
      </c>
      <c r="C27" s="7" t="n">
        <f aca="false">MAX(0,INDEX(학생수별!$I$5:$I$204,MATCH(A27,학생수별!$A$5:$A$204,0)))*(1-가정!$B$6)</f>
        <v>240000</v>
      </c>
      <c r="D27" s="7" t="n">
        <f aca="false">B27-C27</f>
        <v>2160000</v>
      </c>
      <c r="E27" s="7" t="n">
        <f aca="false">C27*$B$6</f>
        <v>2880000</v>
      </c>
      <c r="F27" s="7" t="n">
        <f aca="false">MAX(0,$B$5-E27)</f>
        <v>97120000</v>
      </c>
      <c r="G27" s="18" t="n">
        <f aca="false">IF(C27&gt;0,$B$5/C27,"불가")</f>
        <v>416.666666666667</v>
      </c>
      <c r="H27" s="7" t="str">
        <f aca="false">IF(F27=0,"예","아니오")</f>
        <v>아니오</v>
      </c>
    </row>
    <row r="28" customFormat="false" ht="15" hidden="false" customHeight="false" outlineLevel="0" collapsed="false">
      <c r="A28" s="7" t="n">
        <v>60</v>
      </c>
      <c r="B28" s="7" t="n">
        <f aca="false">INDEX(학생수별!$H$5:$H$204,MATCH(A28,학생수별!$A$5:$A$204,0))</f>
        <v>2360000</v>
      </c>
      <c r="C28" s="7" t="n">
        <f aca="false">MAX(0,INDEX(학생수별!$I$5:$I$204,MATCH(A28,학생수별!$A$5:$A$204,0)))*(1-가정!$B$6)</f>
        <v>236000</v>
      </c>
      <c r="D28" s="7" t="n">
        <f aca="false">B28-C28</f>
        <v>2124000</v>
      </c>
      <c r="E28" s="7" t="n">
        <f aca="false">C28*$B$6</f>
        <v>2832000</v>
      </c>
      <c r="F28" s="7" t="n">
        <f aca="false">MAX(0,$B$5-E28)</f>
        <v>97168000</v>
      </c>
      <c r="G28" s="18" t="n">
        <f aca="false">IF(C28&gt;0,$B$5/C28,"불가")</f>
        <v>423.728813559322</v>
      </c>
      <c r="H28" s="7" t="str">
        <f aca="false">IF(F28=0,"예","아니오")</f>
        <v>아니오</v>
      </c>
    </row>
    <row r="29" customFormat="false" ht="15" hidden="false" customHeight="false" outlineLevel="0" collapsed="false">
      <c r="A29" s="7" t="n">
        <v>70</v>
      </c>
      <c r="B29" s="7" t="n">
        <f aca="false">INDEX(학생수별!$H$5:$H$204,MATCH(A29,학생수별!$A$5:$A$204,0))</f>
        <v>5120000</v>
      </c>
      <c r="C29" s="7" t="n">
        <f aca="false">MAX(0,INDEX(학생수별!$I$5:$I$204,MATCH(A29,학생수별!$A$5:$A$204,0)))*(1-가정!$B$6)</f>
        <v>512000</v>
      </c>
      <c r="D29" s="7" t="n">
        <f aca="false">B29-C29</f>
        <v>4608000</v>
      </c>
      <c r="E29" s="7" t="n">
        <f aca="false">C29*$B$6</f>
        <v>6144000</v>
      </c>
      <c r="F29" s="7" t="n">
        <f aca="false">MAX(0,$B$5-E29)</f>
        <v>93856000</v>
      </c>
      <c r="G29" s="18" t="n">
        <f aca="false">IF(C29&gt;0,$B$5/C29,"불가")</f>
        <v>195.3125</v>
      </c>
      <c r="H29" s="7" t="str">
        <f aca="false">IF(F29=0,"예","아니오")</f>
        <v>아니오</v>
      </c>
    </row>
    <row r="30" customFormat="false" ht="15" hidden="false" customHeight="false" outlineLevel="0" collapsed="false">
      <c r="A30" s="7" t="n">
        <v>80</v>
      </c>
      <c r="B30" s="7" t="n">
        <f aca="false">INDEX(학생수별!$H$5:$H$204,MATCH(A30,학생수별!$A$5:$A$204,0))</f>
        <v>7880000</v>
      </c>
      <c r="C30" s="7" t="n">
        <f aca="false">MAX(0,INDEX(학생수별!$I$5:$I$204,MATCH(A30,학생수별!$A$5:$A$204,0)))*(1-가정!$B$6)</f>
        <v>788000</v>
      </c>
      <c r="D30" s="7" t="n">
        <f aca="false">B30-C30</f>
        <v>7092000</v>
      </c>
      <c r="E30" s="7" t="n">
        <f aca="false">C30*$B$6</f>
        <v>9456000</v>
      </c>
      <c r="F30" s="7" t="n">
        <f aca="false">MAX(0,$B$5-E30)</f>
        <v>90544000</v>
      </c>
      <c r="G30" s="18" t="n">
        <f aca="false">IF(C30&gt;0,$B$5/C30,"불가")</f>
        <v>126.903553299492</v>
      </c>
      <c r="H30" s="7" t="str">
        <f aca="false">IF(F30=0,"예","아니오")</f>
        <v>아니오</v>
      </c>
    </row>
    <row r="31" customFormat="false" ht="15" hidden="false" customHeight="false" outlineLevel="0" collapsed="false">
      <c r="A31" s="7" t="n">
        <v>90</v>
      </c>
      <c r="B31" s="7" t="n">
        <f aca="false">INDEX(학생수별!$H$5:$H$204,MATCH(A31,학생수별!$A$5:$A$204,0))</f>
        <v>7840000</v>
      </c>
      <c r="C31" s="7" t="n">
        <f aca="false">MAX(0,INDEX(학생수별!$I$5:$I$204,MATCH(A31,학생수별!$A$5:$A$204,0)))*(1-가정!$B$6)</f>
        <v>784000</v>
      </c>
      <c r="D31" s="7" t="n">
        <f aca="false">B31-C31</f>
        <v>7056000</v>
      </c>
      <c r="E31" s="7" t="n">
        <f aca="false">C31*$B$6</f>
        <v>9408000</v>
      </c>
      <c r="F31" s="7" t="n">
        <f aca="false">MAX(0,$B$5-E31)</f>
        <v>90592000</v>
      </c>
      <c r="G31" s="18" t="n">
        <f aca="false">IF(C31&gt;0,$B$5/C31,"불가")</f>
        <v>127.551020408163</v>
      </c>
      <c r="H31" s="7" t="str">
        <f aca="false">IF(F31=0,"예","아니오")</f>
        <v>아니오</v>
      </c>
    </row>
    <row r="32" customFormat="false" ht="15" hidden="false" customHeight="false" outlineLevel="0" collapsed="false">
      <c r="A32" s="7" t="n">
        <v>100</v>
      </c>
      <c r="B32" s="7" t="n">
        <f aca="false">INDEX(학생수별!$H$5:$H$204,MATCH(A32,학생수별!$A$5:$A$204,0))</f>
        <v>10600000</v>
      </c>
      <c r="C32" s="7" t="n">
        <f aca="false">MAX(0,INDEX(학생수별!$I$5:$I$204,MATCH(A32,학생수별!$A$5:$A$204,0)))*(1-가정!$B$6)</f>
        <v>1060000</v>
      </c>
      <c r="D32" s="7" t="n">
        <f aca="false">B32-C32</f>
        <v>9540000</v>
      </c>
      <c r="E32" s="7" t="n">
        <f aca="false">C32*$B$6</f>
        <v>12720000</v>
      </c>
      <c r="F32" s="7" t="n">
        <f aca="false">MAX(0,$B$5-E32)</f>
        <v>87280000</v>
      </c>
      <c r="G32" s="18" t="n">
        <f aca="false">IF(C32&gt;0,$B$5/C32,"불가")</f>
        <v>94.3396226415095</v>
      </c>
      <c r="H32" s="7" t="str">
        <f aca="false">IF(F32=0,"예","아니오")</f>
        <v>아니오</v>
      </c>
    </row>
    <row r="33" customFormat="false" ht="15" hidden="false" customHeight="false" outlineLevel="0" collapsed="false">
      <c r="A33" s="7" t="n">
        <v>120</v>
      </c>
      <c r="B33" s="7" t="n">
        <f aca="false">INDEX(학생수별!$H$5:$H$204,MATCH(A33,학생수별!$A$5:$A$204,0))</f>
        <v>13320000</v>
      </c>
      <c r="C33" s="7" t="n">
        <f aca="false">MAX(0,INDEX(학생수별!$I$5:$I$204,MATCH(A33,학생수별!$A$5:$A$204,0)))*(1-가정!$B$6)</f>
        <v>1332000</v>
      </c>
      <c r="D33" s="7" t="n">
        <f aca="false">B33-C33</f>
        <v>11988000</v>
      </c>
      <c r="E33" s="7" t="n">
        <f aca="false">C33*$B$6</f>
        <v>15984000</v>
      </c>
      <c r="F33" s="7" t="n">
        <f aca="false">MAX(0,$B$5-E33)</f>
        <v>84016000</v>
      </c>
      <c r="G33" s="18" t="n">
        <f aca="false">IF(C33&gt;0,$B$5/C33,"불가")</f>
        <v>75.0750750750751</v>
      </c>
      <c r="H33" s="7" t="str">
        <f aca="false">IF(F33=0,"예","아니오")</f>
        <v>아니오</v>
      </c>
    </row>
    <row r="34" customFormat="false" ht="15" hidden="false" customHeight="false" outlineLevel="0" collapsed="false">
      <c r="A34" s="7" t="n">
        <v>150</v>
      </c>
      <c r="B34" s="7" t="n">
        <f aca="false">INDEX(학생수별!$H$5:$H$204,MATCH(A34,학생수별!$A$5:$A$204,0))</f>
        <v>18800000</v>
      </c>
      <c r="C34" s="7" t="n">
        <f aca="false">MAX(0,INDEX(학생수별!$I$5:$I$204,MATCH(A34,학생수별!$A$5:$A$204,0)))*(1-가정!$B$6)</f>
        <v>1880000</v>
      </c>
      <c r="D34" s="7" t="n">
        <f aca="false">B34-C34</f>
        <v>16920000</v>
      </c>
      <c r="E34" s="7" t="n">
        <f aca="false">C34*$B$6</f>
        <v>22560000</v>
      </c>
      <c r="F34" s="7" t="n">
        <f aca="false">MAX(0,$B$5-E34)</f>
        <v>77440000</v>
      </c>
      <c r="G34" s="18" t="n">
        <f aca="false">IF(C34&gt;0,$B$5/C34,"불가")</f>
        <v>53.1914893617021</v>
      </c>
      <c r="H34" s="7" t="str">
        <f aca="false">IF(F34=0,"예","아니오")</f>
        <v>아니오</v>
      </c>
    </row>
    <row r="35" customFormat="false" ht="15" hidden="false" customHeight="false" outlineLevel="0" collapsed="false">
      <c r="A35" s="7" t="n">
        <v>200</v>
      </c>
      <c r="B35" s="7" t="n">
        <f aca="false">INDEX(학생수별!$H$5:$H$204,MATCH(A35,학생수별!$A$5:$A$204,0))</f>
        <v>29800000</v>
      </c>
      <c r="C35" s="7" t="n">
        <f aca="false">MAX(0,INDEX(학생수별!$I$5:$I$204,MATCH(A35,학생수별!$A$5:$A$204,0)))*(1-가정!$B$6)</f>
        <v>2980000</v>
      </c>
      <c r="D35" s="7" t="n">
        <f aca="false">B35-C35</f>
        <v>26820000</v>
      </c>
      <c r="E35" s="7" t="n">
        <f aca="false">C35*$B$6</f>
        <v>35760000</v>
      </c>
      <c r="F35" s="7" t="n">
        <f aca="false">MAX(0,$B$5-E35)</f>
        <v>64240000</v>
      </c>
      <c r="G35" s="18" t="n">
        <f aca="false">IF(C35&gt;0,$B$5/C35,"불가")</f>
        <v>33.5570469798658</v>
      </c>
      <c r="H35" s="7" t="str">
        <f aca="false">IF(F35=0,"예","아니오")</f>
        <v>아니오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9.4" hidden="false" customHeight="false" outlineLevel="0" collapsed="false">
      <c r="A1" s="1" t="s">
        <v>63</v>
      </c>
    </row>
    <row r="2" customFormat="false" ht="15" hidden="false" customHeight="false" outlineLevel="0" collapsed="false">
      <c r="A2" s="13" t="s">
        <v>64</v>
      </c>
    </row>
    <row r="4" customFormat="false" ht="15" hidden="false" customHeight="false" outlineLevel="0" collapsed="false">
      <c r="A4" s="9" t="s">
        <v>65</v>
      </c>
      <c r="B4" s="10"/>
      <c r="C4" s="10"/>
    </row>
    <row r="5" customFormat="false" ht="15" hidden="false" customHeight="false" outlineLevel="0" collapsed="false">
      <c r="A5" s="4" t="s">
        <v>66</v>
      </c>
      <c r="B5" s="15" t="n">
        <v>0</v>
      </c>
      <c r="C5" s="6" t="s">
        <v>67</v>
      </c>
    </row>
    <row r="6" customFormat="false" ht="15" hidden="false" customHeight="false" outlineLevel="0" collapsed="false">
      <c r="A6" s="4" t="s">
        <v>68</v>
      </c>
      <c r="B6" s="19" t="n">
        <v>0.9</v>
      </c>
      <c r="C6" s="6" t="s">
        <v>69</v>
      </c>
    </row>
    <row r="7" customFormat="false" ht="15" hidden="false" customHeight="false" outlineLevel="0" collapsed="false">
      <c r="A7" s="4" t="s">
        <v>70</v>
      </c>
      <c r="B7" s="15" t="n">
        <v>1</v>
      </c>
      <c r="C7" s="20" t="s">
        <v>71</v>
      </c>
    </row>
    <row r="8" customFormat="false" ht="15" hidden="false" customHeight="false" outlineLevel="0" collapsed="false">
      <c r="A8" s="4" t="s">
        <v>72</v>
      </c>
      <c r="B8" s="15" t="n">
        <v>200</v>
      </c>
      <c r="C8" s="6" t="s">
        <v>73</v>
      </c>
    </row>
    <row r="9" customFormat="false" ht="15" hidden="false" customHeight="false" outlineLevel="0" collapsed="false">
      <c r="A9" s="9" t="s">
        <v>74</v>
      </c>
      <c r="B9" s="10"/>
      <c r="C9" s="10"/>
    </row>
    <row r="10" customFormat="false" ht="15" hidden="false" customHeight="false" outlineLevel="0" collapsed="false">
      <c r="A10" s="4" t="s">
        <v>75</v>
      </c>
      <c r="B10" s="15" t="n">
        <v>300000</v>
      </c>
      <c r="C10" s="6" t="s">
        <v>76</v>
      </c>
    </row>
    <row r="11" customFormat="false" ht="15" hidden="false" customHeight="false" outlineLevel="0" collapsed="false">
      <c r="A11" s="9" t="s">
        <v>77</v>
      </c>
      <c r="B11" s="10"/>
      <c r="C11" s="10"/>
    </row>
    <row r="12" customFormat="false" ht="15" hidden="false" customHeight="false" outlineLevel="0" collapsed="false">
      <c r="A12" s="4" t="s">
        <v>78</v>
      </c>
      <c r="B12" s="15" t="n">
        <v>4000000</v>
      </c>
      <c r="C12" s="6" t="s">
        <v>79</v>
      </c>
    </row>
    <row r="13" customFormat="false" ht="15" hidden="false" customHeight="false" outlineLevel="0" collapsed="false">
      <c r="A13" s="4" t="s">
        <v>80</v>
      </c>
      <c r="B13" s="15" t="n">
        <v>800000</v>
      </c>
      <c r="C13" s="6" t="s">
        <v>79</v>
      </c>
    </row>
    <row r="14" customFormat="false" ht="15" hidden="false" customHeight="false" outlineLevel="0" collapsed="false">
      <c r="A14" s="4" t="s">
        <v>81</v>
      </c>
      <c r="B14" s="15" t="n">
        <v>2500000</v>
      </c>
      <c r="C14" s="6" t="s">
        <v>82</v>
      </c>
    </row>
    <row r="15" customFormat="false" ht="15" hidden="false" customHeight="false" outlineLevel="0" collapsed="false">
      <c r="A15" s="4" t="s">
        <v>83</v>
      </c>
      <c r="B15" s="15" t="n">
        <v>1000000</v>
      </c>
      <c r="C15" s="6" t="s">
        <v>79</v>
      </c>
    </row>
    <row r="16" customFormat="false" ht="15" hidden="false" customHeight="false" outlineLevel="0" collapsed="false">
      <c r="A16" s="4" t="s">
        <v>84</v>
      </c>
      <c r="B16" s="15" t="n">
        <v>300000</v>
      </c>
      <c r="C16" s="6" t="s">
        <v>85</v>
      </c>
    </row>
    <row r="17" customFormat="false" ht="15" hidden="false" customHeight="false" outlineLevel="0" collapsed="false">
      <c r="A17" s="9" t="s">
        <v>86</v>
      </c>
      <c r="B17" s="10"/>
      <c r="C17" s="10"/>
    </row>
    <row r="18" customFormat="false" ht="15" hidden="false" customHeight="false" outlineLevel="0" collapsed="false">
      <c r="A18" s="4" t="s">
        <v>87</v>
      </c>
      <c r="B18" s="15" t="n">
        <v>20</v>
      </c>
      <c r="C18" s="6" t="s">
        <v>88</v>
      </c>
    </row>
    <row r="19" customFormat="false" ht="15" hidden="false" customHeight="false" outlineLevel="0" collapsed="false">
      <c r="A19" s="4" t="s">
        <v>89</v>
      </c>
      <c r="B19" s="15" t="n">
        <v>30</v>
      </c>
      <c r="C19" s="6" t="s">
        <v>90</v>
      </c>
    </row>
    <row r="20" customFormat="false" ht="15" hidden="false" customHeight="false" outlineLevel="0" collapsed="false">
      <c r="A20" s="4" t="s">
        <v>91</v>
      </c>
      <c r="B20" s="15" t="n">
        <v>2800000</v>
      </c>
      <c r="C20" s="6" t="s">
        <v>79</v>
      </c>
    </row>
    <row r="21" customFormat="false" ht="15" hidden="false" customHeight="false" outlineLevel="0" collapsed="false">
      <c r="A21" s="9" t="s">
        <v>92</v>
      </c>
      <c r="B21" s="10"/>
      <c r="C21" s="10"/>
    </row>
    <row r="22" customFormat="false" ht="15" hidden="false" customHeight="false" outlineLevel="0" collapsed="false">
      <c r="A22" s="4" t="s">
        <v>93</v>
      </c>
      <c r="B22" s="15" t="n">
        <v>15000</v>
      </c>
      <c r="C22" s="6" t="s">
        <v>79</v>
      </c>
    </row>
    <row r="23" customFormat="false" ht="15" hidden="false" customHeight="false" outlineLevel="0" collapsed="false">
      <c r="A23" s="4" t="s">
        <v>94</v>
      </c>
      <c r="B23" s="19" t="n">
        <v>0.03</v>
      </c>
      <c r="C23" s="6" t="s">
        <v>79</v>
      </c>
    </row>
    <row r="24" customFormat="false" ht="15" hidden="false" customHeight="false" outlineLevel="0" collapsed="false">
      <c r="A24" s="4" t="s">
        <v>95</v>
      </c>
      <c r="B24" s="19" t="n">
        <v>0</v>
      </c>
      <c r="C24" s="6" t="s">
        <v>96</v>
      </c>
    </row>
    <row r="25" customFormat="false" ht="15" hidden="false" customHeight="false" outlineLevel="0" collapsed="false">
      <c r="A25" s="9" t="s">
        <v>97</v>
      </c>
      <c r="B25" s="10"/>
      <c r="C25" s="10"/>
    </row>
    <row r="26" customFormat="false" ht="15" hidden="false" customHeight="false" outlineLevel="0" collapsed="false">
      <c r="A26" s="4" t="s">
        <v>4</v>
      </c>
      <c r="B26" s="15" t="n">
        <v>80</v>
      </c>
      <c r="C26" s="6" t="s">
        <v>98</v>
      </c>
    </row>
    <row r="27" customFormat="false" ht="15" hidden="false" customHeight="false" outlineLevel="0" collapsed="false">
      <c r="A27" s="4" t="s">
        <v>99</v>
      </c>
      <c r="B27" s="15" t="n">
        <v>5000000</v>
      </c>
      <c r="C27" s="6" t="s">
        <v>100</v>
      </c>
    </row>
    <row r="28" customFormat="false" ht="15" hidden="false" customHeight="false" outlineLevel="0" collapsed="false">
      <c r="A28" s="4" t="s">
        <v>101</v>
      </c>
      <c r="B28" s="15" t="n">
        <v>6000000</v>
      </c>
      <c r="C28" s="6" t="s">
        <v>102</v>
      </c>
    </row>
    <row r="30" customFormat="false" ht="15" hidden="false" customHeight="false" outlineLevel="0" collapsed="false">
      <c r="A30" s="21" t="s">
        <v>103</v>
      </c>
      <c r="B30" s="22" t="n">
        <f aca="false">SUM(B12:B16)</f>
        <v>8600000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4" min="13" style="0" width="12"/>
    <col collapsed="false" customWidth="true" hidden="false" outlineLevel="0" max="17" min="15" style="0" width="14"/>
    <col collapsed="false" customWidth="true" hidden="false" outlineLevel="0" max="18" min="18" style="0" width="16"/>
  </cols>
  <sheetData>
    <row r="1" customFormat="false" ht="19.4" hidden="false" customHeight="false" outlineLevel="0" collapsed="false">
      <c r="A1" s="1" t="s">
        <v>104</v>
      </c>
    </row>
    <row r="2" customFormat="false" ht="15" hidden="false" customHeight="false" outlineLevel="0" collapsed="false">
      <c r="A2" s="13" t="s">
        <v>105</v>
      </c>
    </row>
    <row r="4" customFormat="false" ht="45" hidden="false" customHeight="true" outlineLevel="0" collapsed="false">
      <c r="A4" s="3" t="s">
        <v>55</v>
      </c>
      <c r="B4" s="3" t="s">
        <v>6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  <c r="I4" s="3" t="s">
        <v>9</v>
      </c>
      <c r="J4" s="3" t="s">
        <v>112</v>
      </c>
      <c r="K4" s="3" t="s">
        <v>12</v>
      </c>
      <c r="L4" s="3" t="s">
        <v>113</v>
      </c>
      <c r="M4" s="3" t="s">
        <v>114</v>
      </c>
      <c r="N4" s="3" t="s">
        <v>22</v>
      </c>
      <c r="O4" s="3" t="s">
        <v>115</v>
      </c>
      <c r="P4" s="3" t="s">
        <v>116</v>
      </c>
      <c r="Q4" s="3" t="s">
        <v>117</v>
      </c>
      <c r="R4" s="23" t="s">
        <v>118</v>
      </c>
    </row>
    <row r="5" customFormat="false" ht="15" hidden="false" customHeight="false" outlineLevel="0" collapsed="false">
      <c r="A5" s="7" t="n">
        <v>1</v>
      </c>
      <c r="B5" s="7" t="n">
        <f aca="false">A5*가정!$B$10</f>
        <v>300000</v>
      </c>
      <c r="C5" s="7" t="n">
        <f aca="false">가정!$B$30</f>
        <v>8600000</v>
      </c>
      <c r="D5" s="7" t="n">
        <f aca="false">ROUNDUP(MAX(0,A5-가정!$B$18)/가정!$B$19,0)</f>
        <v>0</v>
      </c>
      <c r="E5" s="7" t="n">
        <f aca="false">D5*가정!$B$20</f>
        <v>0</v>
      </c>
      <c r="F5" s="7" t="n">
        <f aca="false">A5*가정!$B$22+B5*가정!$B$23</f>
        <v>24000</v>
      </c>
      <c r="G5" s="7" t="n">
        <f aca="false">B5*가정!$B$24</f>
        <v>0</v>
      </c>
      <c r="H5" s="7" t="n">
        <f aca="false">B5-C5-E5-F5-G5</f>
        <v>-8324000</v>
      </c>
      <c r="I5" s="7" t="n">
        <f aca="false">H5-IF(가정!$B$7=1,가정!$B$5,0)</f>
        <v>-8324000</v>
      </c>
      <c r="J5" s="7" t="n">
        <f aca="false">MAX(0,I5)*가정!$B$6</f>
        <v>0</v>
      </c>
      <c r="K5" s="7" t="n">
        <f aca="false">가정!$B$5+J5</f>
        <v>0</v>
      </c>
      <c r="L5" s="7" t="n">
        <f aca="false">H5-K5</f>
        <v>-8324000</v>
      </c>
      <c r="M5" s="8" t="n">
        <f aca="false">IF(B5=0,0,K5/B5)</f>
        <v>0</v>
      </c>
      <c r="N5" s="7" t="n">
        <f aca="false">K5/가정!$B$8</f>
        <v>0</v>
      </c>
      <c r="O5" s="7" t="str">
        <f aca="false">IF(I5&gt;0,A5,"")</f>
        <v/>
      </c>
      <c r="P5" s="7" t="str">
        <f aca="false">IF(L5&gt;=0,A5,"")</f>
        <v/>
      </c>
      <c r="Q5" s="7" t="str">
        <f aca="false">IF(K5&gt;=가정!$B$28,A5,"")</f>
        <v/>
      </c>
      <c r="R5" s="7" t="str">
        <f aca="false">IF(MAX(0,I5)*(1-가정!$B$6)*'1억 상환'!$B$6&gt;='1억 상환'!$B$5,A5,"")</f>
        <v/>
      </c>
    </row>
    <row r="6" customFormat="false" ht="15" hidden="false" customHeight="false" outlineLevel="0" collapsed="false">
      <c r="A6" s="7" t="n">
        <v>2</v>
      </c>
      <c r="B6" s="7" t="n">
        <f aca="false">A6*가정!$B$10</f>
        <v>600000</v>
      </c>
      <c r="C6" s="7" t="n">
        <f aca="false">가정!$B$30</f>
        <v>8600000</v>
      </c>
      <c r="D6" s="7" t="n">
        <f aca="false">ROUNDUP(MAX(0,A6-가정!$B$18)/가정!$B$19,0)</f>
        <v>0</v>
      </c>
      <c r="E6" s="7" t="n">
        <f aca="false">D6*가정!$B$20</f>
        <v>0</v>
      </c>
      <c r="F6" s="7" t="n">
        <f aca="false">A6*가정!$B$22+B6*가정!$B$23</f>
        <v>48000</v>
      </c>
      <c r="G6" s="7" t="n">
        <f aca="false">B6*가정!$B$24</f>
        <v>0</v>
      </c>
      <c r="H6" s="7" t="n">
        <f aca="false">B6-C6-E6-F6-G6</f>
        <v>-8048000</v>
      </c>
      <c r="I6" s="7" t="n">
        <f aca="false">H6-IF(가정!$B$7=1,가정!$B$5,0)</f>
        <v>-8048000</v>
      </c>
      <c r="J6" s="7" t="n">
        <f aca="false">MAX(0,I6)*가정!$B$6</f>
        <v>0</v>
      </c>
      <c r="K6" s="7" t="n">
        <f aca="false">가정!$B$5+J6</f>
        <v>0</v>
      </c>
      <c r="L6" s="7" t="n">
        <f aca="false">H6-K6</f>
        <v>-8048000</v>
      </c>
      <c r="M6" s="8" t="n">
        <f aca="false">IF(B6=0,0,K6/B6)</f>
        <v>0</v>
      </c>
      <c r="N6" s="7" t="n">
        <f aca="false">K6/가정!$B$8</f>
        <v>0</v>
      </c>
      <c r="O6" s="7" t="str">
        <f aca="false">IF(I6&gt;0,A6,"")</f>
        <v/>
      </c>
      <c r="P6" s="7" t="str">
        <f aca="false">IF(L6&gt;=0,A6,"")</f>
        <v/>
      </c>
      <c r="Q6" s="7" t="str">
        <f aca="false">IF(K6&gt;=가정!$B$28,A6,"")</f>
        <v/>
      </c>
      <c r="R6" s="7" t="str">
        <f aca="false">IF(MAX(0,I6)*(1-가정!$B$6)*'1억 상환'!$B$6&gt;='1억 상환'!$B$5,A6,"")</f>
        <v/>
      </c>
    </row>
    <row r="7" customFormat="false" ht="15" hidden="false" customHeight="false" outlineLevel="0" collapsed="false">
      <c r="A7" s="7" t="n">
        <v>3</v>
      </c>
      <c r="B7" s="7" t="n">
        <f aca="false">A7*가정!$B$10</f>
        <v>900000</v>
      </c>
      <c r="C7" s="7" t="n">
        <f aca="false">가정!$B$30</f>
        <v>8600000</v>
      </c>
      <c r="D7" s="7" t="n">
        <f aca="false">ROUNDUP(MAX(0,A7-가정!$B$18)/가정!$B$19,0)</f>
        <v>0</v>
      </c>
      <c r="E7" s="7" t="n">
        <f aca="false">D7*가정!$B$20</f>
        <v>0</v>
      </c>
      <c r="F7" s="7" t="n">
        <f aca="false">A7*가정!$B$22+B7*가정!$B$23</f>
        <v>72000</v>
      </c>
      <c r="G7" s="7" t="n">
        <f aca="false">B7*가정!$B$24</f>
        <v>0</v>
      </c>
      <c r="H7" s="7" t="n">
        <f aca="false">B7-C7-E7-F7-G7</f>
        <v>-7772000</v>
      </c>
      <c r="I7" s="7" t="n">
        <f aca="false">H7-IF(가정!$B$7=1,가정!$B$5,0)</f>
        <v>-7772000</v>
      </c>
      <c r="J7" s="7" t="n">
        <f aca="false">MAX(0,I7)*가정!$B$6</f>
        <v>0</v>
      </c>
      <c r="K7" s="7" t="n">
        <f aca="false">가정!$B$5+J7</f>
        <v>0</v>
      </c>
      <c r="L7" s="7" t="n">
        <f aca="false">H7-K7</f>
        <v>-7772000</v>
      </c>
      <c r="M7" s="8" t="n">
        <f aca="false">IF(B7=0,0,K7/B7)</f>
        <v>0</v>
      </c>
      <c r="N7" s="7" t="n">
        <f aca="false">K7/가정!$B$8</f>
        <v>0</v>
      </c>
      <c r="O7" s="7" t="str">
        <f aca="false">IF(I7&gt;0,A7,"")</f>
        <v/>
      </c>
      <c r="P7" s="7" t="str">
        <f aca="false">IF(L7&gt;=0,A7,"")</f>
        <v/>
      </c>
      <c r="Q7" s="7" t="str">
        <f aca="false">IF(K7&gt;=가정!$B$28,A7,"")</f>
        <v/>
      </c>
      <c r="R7" s="7" t="str">
        <f aca="false">IF(MAX(0,I7)*(1-가정!$B$6)*'1억 상환'!$B$6&gt;='1억 상환'!$B$5,A7,"")</f>
        <v/>
      </c>
    </row>
    <row r="8" customFormat="false" ht="15" hidden="false" customHeight="false" outlineLevel="0" collapsed="false">
      <c r="A8" s="7" t="n">
        <v>4</v>
      </c>
      <c r="B8" s="7" t="n">
        <f aca="false">A8*가정!$B$10</f>
        <v>1200000</v>
      </c>
      <c r="C8" s="7" t="n">
        <f aca="false">가정!$B$30</f>
        <v>8600000</v>
      </c>
      <c r="D8" s="7" t="n">
        <f aca="false">ROUNDUP(MAX(0,A8-가정!$B$18)/가정!$B$19,0)</f>
        <v>0</v>
      </c>
      <c r="E8" s="7" t="n">
        <f aca="false">D8*가정!$B$20</f>
        <v>0</v>
      </c>
      <c r="F8" s="7" t="n">
        <f aca="false">A8*가정!$B$22+B8*가정!$B$23</f>
        <v>96000</v>
      </c>
      <c r="G8" s="7" t="n">
        <f aca="false">B8*가정!$B$24</f>
        <v>0</v>
      </c>
      <c r="H8" s="7" t="n">
        <f aca="false">B8-C8-E8-F8-G8</f>
        <v>-7496000</v>
      </c>
      <c r="I8" s="7" t="n">
        <f aca="false">H8-IF(가정!$B$7=1,가정!$B$5,0)</f>
        <v>-7496000</v>
      </c>
      <c r="J8" s="7" t="n">
        <f aca="false">MAX(0,I8)*가정!$B$6</f>
        <v>0</v>
      </c>
      <c r="K8" s="7" t="n">
        <f aca="false">가정!$B$5+J8</f>
        <v>0</v>
      </c>
      <c r="L8" s="7" t="n">
        <f aca="false">H8-K8</f>
        <v>-7496000</v>
      </c>
      <c r="M8" s="8" t="n">
        <f aca="false">IF(B8=0,0,K8/B8)</f>
        <v>0</v>
      </c>
      <c r="N8" s="7" t="n">
        <f aca="false">K8/가정!$B$8</f>
        <v>0</v>
      </c>
      <c r="O8" s="7" t="str">
        <f aca="false">IF(I8&gt;0,A8,"")</f>
        <v/>
      </c>
      <c r="P8" s="7" t="str">
        <f aca="false">IF(L8&gt;=0,A8,"")</f>
        <v/>
      </c>
      <c r="Q8" s="7" t="str">
        <f aca="false">IF(K8&gt;=가정!$B$28,A8,"")</f>
        <v/>
      </c>
      <c r="R8" s="7" t="str">
        <f aca="false">IF(MAX(0,I8)*(1-가정!$B$6)*'1억 상환'!$B$6&gt;='1억 상환'!$B$5,A8,"")</f>
        <v/>
      </c>
    </row>
    <row r="9" customFormat="false" ht="15" hidden="false" customHeight="false" outlineLevel="0" collapsed="false">
      <c r="A9" s="7" t="n">
        <v>5</v>
      </c>
      <c r="B9" s="7" t="n">
        <f aca="false">A9*가정!$B$10</f>
        <v>1500000</v>
      </c>
      <c r="C9" s="7" t="n">
        <f aca="false">가정!$B$30</f>
        <v>8600000</v>
      </c>
      <c r="D9" s="7" t="n">
        <f aca="false">ROUNDUP(MAX(0,A9-가정!$B$18)/가정!$B$19,0)</f>
        <v>0</v>
      </c>
      <c r="E9" s="7" t="n">
        <f aca="false">D9*가정!$B$20</f>
        <v>0</v>
      </c>
      <c r="F9" s="7" t="n">
        <f aca="false">A9*가정!$B$22+B9*가정!$B$23</f>
        <v>120000</v>
      </c>
      <c r="G9" s="7" t="n">
        <f aca="false">B9*가정!$B$24</f>
        <v>0</v>
      </c>
      <c r="H9" s="7" t="n">
        <f aca="false">B9-C9-E9-F9-G9</f>
        <v>-7220000</v>
      </c>
      <c r="I9" s="7" t="n">
        <f aca="false">H9-IF(가정!$B$7=1,가정!$B$5,0)</f>
        <v>-7220000</v>
      </c>
      <c r="J9" s="7" t="n">
        <f aca="false">MAX(0,I9)*가정!$B$6</f>
        <v>0</v>
      </c>
      <c r="K9" s="7" t="n">
        <f aca="false">가정!$B$5+J9</f>
        <v>0</v>
      </c>
      <c r="L9" s="7" t="n">
        <f aca="false">H9-K9</f>
        <v>-7220000</v>
      </c>
      <c r="M9" s="8" t="n">
        <f aca="false">IF(B9=0,0,K9/B9)</f>
        <v>0</v>
      </c>
      <c r="N9" s="7" t="n">
        <f aca="false">K9/가정!$B$8</f>
        <v>0</v>
      </c>
      <c r="O9" s="7" t="str">
        <f aca="false">IF(I9&gt;0,A9,"")</f>
        <v/>
      </c>
      <c r="P9" s="7" t="str">
        <f aca="false">IF(L9&gt;=0,A9,"")</f>
        <v/>
      </c>
      <c r="Q9" s="7" t="str">
        <f aca="false">IF(K9&gt;=가정!$B$28,A9,"")</f>
        <v/>
      </c>
      <c r="R9" s="7" t="str">
        <f aca="false">IF(MAX(0,I9)*(1-가정!$B$6)*'1억 상환'!$B$6&gt;='1억 상환'!$B$5,A9,"")</f>
        <v/>
      </c>
    </row>
    <row r="10" customFormat="false" ht="15" hidden="false" customHeight="false" outlineLevel="0" collapsed="false">
      <c r="A10" s="7" t="n">
        <v>6</v>
      </c>
      <c r="B10" s="7" t="n">
        <f aca="false">A10*가정!$B$10</f>
        <v>1800000</v>
      </c>
      <c r="C10" s="7" t="n">
        <f aca="false">가정!$B$30</f>
        <v>8600000</v>
      </c>
      <c r="D10" s="7" t="n">
        <f aca="false">ROUNDUP(MAX(0,A10-가정!$B$18)/가정!$B$19,0)</f>
        <v>0</v>
      </c>
      <c r="E10" s="7" t="n">
        <f aca="false">D10*가정!$B$20</f>
        <v>0</v>
      </c>
      <c r="F10" s="7" t="n">
        <f aca="false">A10*가정!$B$22+B10*가정!$B$23</f>
        <v>144000</v>
      </c>
      <c r="G10" s="7" t="n">
        <f aca="false">B10*가정!$B$24</f>
        <v>0</v>
      </c>
      <c r="H10" s="7" t="n">
        <f aca="false">B10-C10-E10-F10-G10</f>
        <v>-6944000</v>
      </c>
      <c r="I10" s="7" t="n">
        <f aca="false">H10-IF(가정!$B$7=1,가정!$B$5,0)</f>
        <v>-6944000</v>
      </c>
      <c r="J10" s="7" t="n">
        <f aca="false">MAX(0,I10)*가정!$B$6</f>
        <v>0</v>
      </c>
      <c r="K10" s="7" t="n">
        <f aca="false">가정!$B$5+J10</f>
        <v>0</v>
      </c>
      <c r="L10" s="7" t="n">
        <f aca="false">H10-K10</f>
        <v>-6944000</v>
      </c>
      <c r="M10" s="8" t="n">
        <f aca="false">IF(B10=0,0,K10/B10)</f>
        <v>0</v>
      </c>
      <c r="N10" s="7" t="n">
        <f aca="false">K10/가정!$B$8</f>
        <v>0</v>
      </c>
      <c r="O10" s="7" t="str">
        <f aca="false">IF(I10&gt;0,A10,"")</f>
        <v/>
      </c>
      <c r="P10" s="7" t="str">
        <f aca="false">IF(L10&gt;=0,A10,"")</f>
        <v/>
      </c>
      <c r="Q10" s="7" t="str">
        <f aca="false">IF(K10&gt;=가정!$B$28,A10,"")</f>
        <v/>
      </c>
      <c r="R10" s="7" t="str">
        <f aca="false">IF(MAX(0,I10)*(1-가정!$B$6)*'1억 상환'!$B$6&gt;='1억 상환'!$B$5,A10,"")</f>
        <v/>
      </c>
    </row>
    <row r="11" customFormat="false" ht="15" hidden="false" customHeight="false" outlineLevel="0" collapsed="false">
      <c r="A11" s="7" t="n">
        <v>7</v>
      </c>
      <c r="B11" s="7" t="n">
        <f aca="false">A11*가정!$B$10</f>
        <v>2100000</v>
      </c>
      <c r="C11" s="7" t="n">
        <f aca="false">가정!$B$30</f>
        <v>8600000</v>
      </c>
      <c r="D11" s="7" t="n">
        <f aca="false">ROUNDUP(MAX(0,A11-가정!$B$18)/가정!$B$19,0)</f>
        <v>0</v>
      </c>
      <c r="E11" s="7" t="n">
        <f aca="false">D11*가정!$B$20</f>
        <v>0</v>
      </c>
      <c r="F11" s="7" t="n">
        <f aca="false">A11*가정!$B$22+B11*가정!$B$23</f>
        <v>168000</v>
      </c>
      <c r="G11" s="7" t="n">
        <f aca="false">B11*가정!$B$24</f>
        <v>0</v>
      </c>
      <c r="H11" s="7" t="n">
        <f aca="false">B11-C11-E11-F11-G11</f>
        <v>-6668000</v>
      </c>
      <c r="I11" s="7" t="n">
        <f aca="false">H11-IF(가정!$B$7=1,가정!$B$5,0)</f>
        <v>-6668000</v>
      </c>
      <c r="J11" s="7" t="n">
        <f aca="false">MAX(0,I11)*가정!$B$6</f>
        <v>0</v>
      </c>
      <c r="K11" s="7" t="n">
        <f aca="false">가정!$B$5+J11</f>
        <v>0</v>
      </c>
      <c r="L11" s="7" t="n">
        <f aca="false">H11-K11</f>
        <v>-6668000</v>
      </c>
      <c r="M11" s="8" t="n">
        <f aca="false">IF(B11=0,0,K11/B11)</f>
        <v>0</v>
      </c>
      <c r="N11" s="7" t="n">
        <f aca="false">K11/가정!$B$8</f>
        <v>0</v>
      </c>
      <c r="O11" s="7" t="str">
        <f aca="false">IF(I11&gt;0,A11,"")</f>
        <v/>
      </c>
      <c r="P11" s="7" t="str">
        <f aca="false">IF(L11&gt;=0,A11,"")</f>
        <v/>
      </c>
      <c r="Q11" s="7" t="str">
        <f aca="false">IF(K11&gt;=가정!$B$28,A11,"")</f>
        <v/>
      </c>
      <c r="R11" s="7" t="str">
        <f aca="false">IF(MAX(0,I11)*(1-가정!$B$6)*'1억 상환'!$B$6&gt;='1억 상환'!$B$5,A11,"")</f>
        <v/>
      </c>
    </row>
    <row r="12" customFormat="false" ht="15" hidden="false" customHeight="false" outlineLevel="0" collapsed="false">
      <c r="A12" s="7" t="n">
        <v>8</v>
      </c>
      <c r="B12" s="7" t="n">
        <f aca="false">A12*가정!$B$10</f>
        <v>2400000</v>
      </c>
      <c r="C12" s="7" t="n">
        <f aca="false">가정!$B$30</f>
        <v>8600000</v>
      </c>
      <c r="D12" s="7" t="n">
        <f aca="false">ROUNDUP(MAX(0,A12-가정!$B$18)/가정!$B$19,0)</f>
        <v>0</v>
      </c>
      <c r="E12" s="7" t="n">
        <f aca="false">D12*가정!$B$20</f>
        <v>0</v>
      </c>
      <c r="F12" s="7" t="n">
        <f aca="false">A12*가정!$B$22+B12*가정!$B$23</f>
        <v>192000</v>
      </c>
      <c r="G12" s="7" t="n">
        <f aca="false">B12*가정!$B$24</f>
        <v>0</v>
      </c>
      <c r="H12" s="7" t="n">
        <f aca="false">B12-C12-E12-F12-G12</f>
        <v>-6392000</v>
      </c>
      <c r="I12" s="7" t="n">
        <f aca="false">H12-IF(가정!$B$7=1,가정!$B$5,0)</f>
        <v>-6392000</v>
      </c>
      <c r="J12" s="7" t="n">
        <f aca="false">MAX(0,I12)*가정!$B$6</f>
        <v>0</v>
      </c>
      <c r="K12" s="7" t="n">
        <f aca="false">가정!$B$5+J12</f>
        <v>0</v>
      </c>
      <c r="L12" s="7" t="n">
        <f aca="false">H12-K12</f>
        <v>-6392000</v>
      </c>
      <c r="M12" s="8" t="n">
        <f aca="false">IF(B12=0,0,K12/B12)</f>
        <v>0</v>
      </c>
      <c r="N12" s="7" t="n">
        <f aca="false">K12/가정!$B$8</f>
        <v>0</v>
      </c>
      <c r="O12" s="7" t="str">
        <f aca="false">IF(I12&gt;0,A12,"")</f>
        <v/>
      </c>
      <c r="P12" s="7" t="str">
        <f aca="false">IF(L12&gt;=0,A12,"")</f>
        <v/>
      </c>
      <c r="Q12" s="7" t="str">
        <f aca="false">IF(K12&gt;=가정!$B$28,A12,"")</f>
        <v/>
      </c>
      <c r="R12" s="7" t="str">
        <f aca="false">IF(MAX(0,I12)*(1-가정!$B$6)*'1억 상환'!$B$6&gt;='1억 상환'!$B$5,A12,"")</f>
        <v/>
      </c>
    </row>
    <row r="13" customFormat="false" ht="15" hidden="false" customHeight="false" outlineLevel="0" collapsed="false">
      <c r="A13" s="7" t="n">
        <v>9</v>
      </c>
      <c r="B13" s="7" t="n">
        <f aca="false">A13*가정!$B$10</f>
        <v>2700000</v>
      </c>
      <c r="C13" s="7" t="n">
        <f aca="false">가정!$B$30</f>
        <v>8600000</v>
      </c>
      <c r="D13" s="7" t="n">
        <f aca="false">ROUNDUP(MAX(0,A13-가정!$B$18)/가정!$B$19,0)</f>
        <v>0</v>
      </c>
      <c r="E13" s="7" t="n">
        <f aca="false">D13*가정!$B$20</f>
        <v>0</v>
      </c>
      <c r="F13" s="7" t="n">
        <f aca="false">A13*가정!$B$22+B13*가정!$B$23</f>
        <v>216000</v>
      </c>
      <c r="G13" s="7" t="n">
        <f aca="false">B13*가정!$B$24</f>
        <v>0</v>
      </c>
      <c r="H13" s="7" t="n">
        <f aca="false">B13-C13-E13-F13-G13</f>
        <v>-6116000</v>
      </c>
      <c r="I13" s="7" t="n">
        <f aca="false">H13-IF(가정!$B$7=1,가정!$B$5,0)</f>
        <v>-6116000</v>
      </c>
      <c r="J13" s="7" t="n">
        <f aca="false">MAX(0,I13)*가정!$B$6</f>
        <v>0</v>
      </c>
      <c r="K13" s="7" t="n">
        <f aca="false">가정!$B$5+J13</f>
        <v>0</v>
      </c>
      <c r="L13" s="7" t="n">
        <f aca="false">H13-K13</f>
        <v>-6116000</v>
      </c>
      <c r="M13" s="8" t="n">
        <f aca="false">IF(B13=0,0,K13/B13)</f>
        <v>0</v>
      </c>
      <c r="N13" s="7" t="n">
        <f aca="false">K13/가정!$B$8</f>
        <v>0</v>
      </c>
      <c r="O13" s="7" t="str">
        <f aca="false">IF(I13&gt;0,A13,"")</f>
        <v/>
      </c>
      <c r="P13" s="7" t="str">
        <f aca="false">IF(L13&gt;=0,A13,"")</f>
        <v/>
      </c>
      <c r="Q13" s="7" t="str">
        <f aca="false">IF(K13&gt;=가정!$B$28,A13,"")</f>
        <v/>
      </c>
      <c r="R13" s="7" t="str">
        <f aca="false">IF(MAX(0,I13)*(1-가정!$B$6)*'1억 상환'!$B$6&gt;='1억 상환'!$B$5,A13,"")</f>
        <v/>
      </c>
    </row>
    <row r="14" customFormat="false" ht="15" hidden="false" customHeight="false" outlineLevel="0" collapsed="false">
      <c r="A14" s="7" t="n">
        <v>10</v>
      </c>
      <c r="B14" s="7" t="n">
        <f aca="false">A14*가정!$B$10</f>
        <v>3000000</v>
      </c>
      <c r="C14" s="7" t="n">
        <f aca="false">가정!$B$30</f>
        <v>8600000</v>
      </c>
      <c r="D14" s="7" t="n">
        <f aca="false">ROUNDUP(MAX(0,A14-가정!$B$18)/가정!$B$19,0)</f>
        <v>0</v>
      </c>
      <c r="E14" s="7" t="n">
        <f aca="false">D14*가정!$B$20</f>
        <v>0</v>
      </c>
      <c r="F14" s="7" t="n">
        <f aca="false">A14*가정!$B$22+B14*가정!$B$23</f>
        <v>240000</v>
      </c>
      <c r="G14" s="7" t="n">
        <f aca="false">B14*가정!$B$24</f>
        <v>0</v>
      </c>
      <c r="H14" s="7" t="n">
        <f aca="false">B14-C14-E14-F14-G14</f>
        <v>-5840000</v>
      </c>
      <c r="I14" s="7" t="n">
        <f aca="false">H14-IF(가정!$B$7=1,가정!$B$5,0)</f>
        <v>-5840000</v>
      </c>
      <c r="J14" s="7" t="n">
        <f aca="false">MAX(0,I14)*가정!$B$6</f>
        <v>0</v>
      </c>
      <c r="K14" s="7" t="n">
        <f aca="false">가정!$B$5+J14</f>
        <v>0</v>
      </c>
      <c r="L14" s="7" t="n">
        <f aca="false">H14-K14</f>
        <v>-5840000</v>
      </c>
      <c r="M14" s="8" t="n">
        <f aca="false">IF(B14=0,0,K14/B14)</f>
        <v>0</v>
      </c>
      <c r="N14" s="7" t="n">
        <f aca="false">K14/가정!$B$8</f>
        <v>0</v>
      </c>
      <c r="O14" s="7" t="str">
        <f aca="false">IF(I14&gt;0,A14,"")</f>
        <v/>
      </c>
      <c r="P14" s="7" t="str">
        <f aca="false">IF(L14&gt;=0,A14,"")</f>
        <v/>
      </c>
      <c r="Q14" s="7" t="str">
        <f aca="false">IF(K14&gt;=가정!$B$28,A14,"")</f>
        <v/>
      </c>
      <c r="R14" s="7" t="str">
        <f aca="false">IF(MAX(0,I14)*(1-가정!$B$6)*'1억 상환'!$B$6&gt;='1억 상환'!$B$5,A14,"")</f>
        <v/>
      </c>
    </row>
    <row r="15" customFormat="false" ht="15" hidden="false" customHeight="false" outlineLevel="0" collapsed="false">
      <c r="A15" s="7" t="n">
        <v>11</v>
      </c>
      <c r="B15" s="7" t="n">
        <f aca="false">A15*가정!$B$10</f>
        <v>3300000</v>
      </c>
      <c r="C15" s="7" t="n">
        <f aca="false">가정!$B$30</f>
        <v>8600000</v>
      </c>
      <c r="D15" s="7" t="n">
        <f aca="false">ROUNDUP(MAX(0,A15-가정!$B$18)/가정!$B$19,0)</f>
        <v>0</v>
      </c>
      <c r="E15" s="7" t="n">
        <f aca="false">D15*가정!$B$20</f>
        <v>0</v>
      </c>
      <c r="F15" s="7" t="n">
        <f aca="false">A15*가정!$B$22+B15*가정!$B$23</f>
        <v>264000</v>
      </c>
      <c r="G15" s="7" t="n">
        <f aca="false">B15*가정!$B$24</f>
        <v>0</v>
      </c>
      <c r="H15" s="7" t="n">
        <f aca="false">B15-C15-E15-F15-G15</f>
        <v>-5564000</v>
      </c>
      <c r="I15" s="7" t="n">
        <f aca="false">H15-IF(가정!$B$7=1,가정!$B$5,0)</f>
        <v>-5564000</v>
      </c>
      <c r="J15" s="7" t="n">
        <f aca="false">MAX(0,I15)*가정!$B$6</f>
        <v>0</v>
      </c>
      <c r="K15" s="7" t="n">
        <f aca="false">가정!$B$5+J15</f>
        <v>0</v>
      </c>
      <c r="L15" s="7" t="n">
        <f aca="false">H15-K15</f>
        <v>-5564000</v>
      </c>
      <c r="M15" s="8" t="n">
        <f aca="false">IF(B15=0,0,K15/B15)</f>
        <v>0</v>
      </c>
      <c r="N15" s="7" t="n">
        <f aca="false">K15/가정!$B$8</f>
        <v>0</v>
      </c>
      <c r="O15" s="7" t="str">
        <f aca="false">IF(I15&gt;0,A15,"")</f>
        <v/>
      </c>
      <c r="P15" s="7" t="str">
        <f aca="false">IF(L15&gt;=0,A15,"")</f>
        <v/>
      </c>
      <c r="Q15" s="7" t="str">
        <f aca="false">IF(K15&gt;=가정!$B$28,A15,"")</f>
        <v/>
      </c>
      <c r="R15" s="7" t="str">
        <f aca="false">IF(MAX(0,I15)*(1-가정!$B$6)*'1억 상환'!$B$6&gt;='1억 상환'!$B$5,A15,"")</f>
        <v/>
      </c>
    </row>
    <row r="16" customFormat="false" ht="15" hidden="false" customHeight="false" outlineLevel="0" collapsed="false">
      <c r="A16" s="7" t="n">
        <v>12</v>
      </c>
      <c r="B16" s="7" t="n">
        <f aca="false">A16*가정!$B$10</f>
        <v>3600000</v>
      </c>
      <c r="C16" s="7" t="n">
        <f aca="false">가정!$B$30</f>
        <v>8600000</v>
      </c>
      <c r="D16" s="7" t="n">
        <f aca="false">ROUNDUP(MAX(0,A16-가정!$B$18)/가정!$B$19,0)</f>
        <v>0</v>
      </c>
      <c r="E16" s="7" t="n">
        <f aca="false">D16*가정!$B$20</f>
        <v>0</v>
      </c>
      <c r="F16" s="7" t="n">
        <f aca="false">A16*가정!$B$22+B16*가정!$B$23</f>
        <v>288000</v>
      </c>
      <c r="G16" s="7" t="n">
        <f aca="false">B16*가정!$B$24</f>
        <v>0</v>
      </c>
      <c r="H16" s="7" t="n">
        <f aca="false">B16-C16-E16-F16-G16</f>
        <v>-5288000</v>
      </c>
      <c r="I16" s="7" t="n">
        <f aca="false">H16-IF(가정!$B$7=1,가정!$B$5,0)</f>
        <v>-5288000</v>
      </c>
      <c r="J16" s="7" t="n">
        <f aca="false">MAX(0,I16)*가정!$B$6</f>
        <v>0</v>
      </c>
      <c r="K16" s="7" t="n">
        <f aca="false">가정!$B$5+J16</f>
        <v>0</v>
      </c>
      <c r="L16" s="7" t="n">
        <f aca="false">H16-K16</f>
        <v>-5288000</v>
      </c>
      <c r="M16" s="8" t="n">
        <f aca="false">IF(B16=0,0,K16/B16)</f>
        <v>0</v>
      </c>
      <c r="N16" s="7" t="n">
        <f aca="false">K16/가정!$B$8</f>
        <v>0</v>
      </c>
      <c r="O16" s="7" t="str">
        <f aca="false">IF(I16&gt;0,A16,"")</f>
        <v/>
      </c>
      <c r="P16" s="7" t="str">
        <f aca="false">IF(L16&gt;=0,A16,"")</f>
        <v/>
      </c>
      <c r="Q16" s="7" t="str">
        <f aca="false">IF(K16&gt;=가정!$B$28,A16,"")</f>
        <v/>
      </c>
      <c r="R16" s="7" t="str">
        <f aca="false">IF(MAX(0,I16)*(1-가정!$B$6)*'1억 상환'!$B$6&gt;='1억 상환'!$B$5,A16,"")</f>
        <v/>
      </c>
    </row>
    <row r="17" customFormat="false" ht="15" hidden="false" customHeight="false" outlineLevel="0" collapsed="false">
      <c r="A17" s="7" t="n">
        <v>13</v>
      </c>
      <c r="B17" s="7" t="n">
        <f aca="false">A17*가정!$B$10</f>
        <v>3900000</v>
      </c>
      <c r="C17" s="7" t="n">
        <f aca="false">가정!$B$30</f>
        <v>8600000</v>
      </c>
      <c r="D17" s="7" t="n">
        <f aca="false">ROUNDUP(MAX(0,A17-가정!$B$18)/가정!$B$19,0)</f>
        <v>0</v>
      </c>
      <c r="E17" s="7" t="n">
        <f aca="false">D17*가정!$B$20</f>
        <v>0</v>
      </c>
      <c r="F17" s="7" t="n">
        <f aca="false">A17*가정!$B$22+B17*가정!$B$23</f>
        <v>312000</v>
      </c>
      <c r="G17" s="7" t="n">
        <f aca="false">B17*가정!$B$24</f>
        <v>0</v>
      </c>
      <c r="H17" s="7" t="n">
        <f aca="false">B17-C17-E17-F17-G17</f>
        <v>-5012000</v>
      </c>
      <c r="I17" s="7" t="n">
        <f aca="false">H17-IF(가정!$B$7=1,가정!$B$5,0)</f>
        <v>-5012000</v>
      </c>
      <c r="J17" s="7" t="n">
        <f aca="false">MAX(0,I17)*가정!$B$6</f>
        <v>0</v>
      </c>
      <c r="K17" s="7" t="n">
        <f aca="false">가정!$B$5+J17</f>
        <v>0</v>
      </c>
      <c r="L17" s="7" t="n">
        <f aca="false">H17-K17</f>
        <v>-5012000</v>
      </c>
      <c r="M17" s="8" t="n">
        <f aca="false">IF(B17=0,0,K17/B17)</f>
        <v>0</v>
      </c>
      <c r="N17" s="7" t="n">
        <f aca="false">K17/가정!$B$8</f>
        <v>0</v>
      </c>
      <c r="O17" s="7" t="str">
        <f aca="false">IF(I17&gt;0,A17,"")</f>
        <v/>
      </c>
      <c r="P17" s="7" t="str">
        <f aca="false">IF(L17&gt;=0,A17,"")</f>
        <v/>
      </c>
      <c r="Q17" s="7" t="str">
        <f aca="false">IF(K17&gt;=가정!$B$28,A17,"")</f>
        <v/>
      </c>
      <c r="R17" s="7" t="str">
        <f aca="false">IF(MAX(0,I17)*(1-가정!$B$6)*'1억 상환'!$B$6&gt;='1억 상환'!$B$5,A17,"")</f>
        <v/>
      </c>
    </row>
    <row r="18" customFormat="false" ht="15" hidden="false" customHeight="false" outlineLevel="0" collapsed="false">
      <c r="A18" s="7" t="n">
        <v>14</v>
      </c>
      <c r="B18" s="7" t="n">
        <f aca="false">A18*가정!$B$10</f>
        <v>4200000</v>
      </c>
      <c r="C18" s="7" t="n">
        <f aca="false">가정!$B$30</f>
        <v>8600000</v>
      </c>
      <c r="D18" s="7" t="n">
        <f aca="false">ROUNDUP(MAX(0,A18-가정!$B$18)/가정!$B$19,0)</f>
        <v>0</v>
      </c>
      <c r="E18" s="7" t="n">
        <f aca="false">D18*가정!$B$20</f>
        <v>0</v>
      </c>
      <c r="F18" s="7" t="n">
        <f aca="false">A18*가정!$B$22+B18*가정!$B$23</f>
        <v>336000</v>
      </c>
      <c r="G18" s="7" t="n">
        <f aca="false">B18*가정!$B$24</f>
        <v>0</v>
      </c>
      <c r="H18" s="7" t="n">
        <f aca="false">B18-C18-E18-F18-G18</f>
        <v>-4736000</v>
      </c>
      <c r="I18" s="7" t="n">
        <f aca="false">H18-IF(가정!$B$7=1,가정!$B$5,0)</f>
        <v>-4736000</v>
      </c>
      <c r="J18" s="7" t="n">
        <f aca="false">MAX(0,I18)*가정!$B$6</f>
        <v>0</v>
      </c>
      <c r="K18" s="7" t="n">
        <f aca="false">가정!$B$5+J18</f>
        <v>0</v>
      </c>
      <c r="L18" s="7" t="n">
        <f aca="false">H18-K18</f>
        <v>-4736000</v>
      </c>
      <c r="M18" s="8" t="n">
        <f aca="false">IF(B18=0,0,K18/B18)</f>
        <v>0</v>
      </c>
      <c r="N18" s="7" t="n">
        <f aca="false">K18/가정!$B$8</f>
        <v>0</v>
      </c>
      <c r="O18" s="7" t="str">
        <f aca="false">IF(I18&gt;0,A18,"")</f>
        <v/>
      </c>
      <c r="P18" s="7" t="str">
        <f aca="false">IF(L18&gt;=0,A18,"")</f>
        <v/>
      </c>
      <c r="Q18" s="7" t="str">
        <f aca="false">IF(K18&gt;=가정!$B$28,A18,"")</f>
        <v/>
      </c>
      <c r="R18" s="7" t="str">
        <f aca="false">IF(MAX(0,I18)*(1-가정!$B$6)*'1억 상환'!$B$6&gt;='1억 상환'!$B$5,A18,"")</f>
        <v/>
      </c>
    </row>
    <row r="19" customFormat="false" ht="15" hidden="false" customHeight="false" outlineLevel="0" collapsed="false">
      <c r="A19" s="7" t="n">
        <v>15</v>
      </c>
      <c r="B19" s="7" t="n">
        <f aca="false">A19*가정!$B$10</f>
        <v>4500000</v>
      </c>
      <c r="C19" s="7" t="n">
        <f aca="false">가정!$B$30</f>
        <v>8600000</v>
      </c>
      <c r="D19" s="7" t="n">
        <f aca="false">ROUNDUP(MAX(0,A19-가정!$B$18)/가정!$B$19,0)</f>
        <v>0</v>
      </c>
      <c r="E19" s="7" t="n">
        <f aca="false">D19*가정!$B$20</f>
        <v>0</v>
      </c>
      <c r="F19" s="7" t="n">
        <f aca="false">A19*가정!$B$22+B19*가정!$B$23</f>
        <v>360000</v>
      </c>
      <c r="G19" s="7" t="n">
        <f aca="false">B19*가정!$B$24</f>
        <v>0</v>
      </c>
      <c r="H19" s="7" t="n">
        <f aca="false">B19-C19-E19-F19-G19</f>
        <v>-4460000</v>
      </c>
      <c r="I19" s="7" t="n">
        <f aca="false">H19-IF(가정!$B$7=1,가정!$B$5,0)</f>
        <v>-4460000</v>
      </c>
      <c r="J19" s="7" t="n">
        <f aca="false">MAX(0,I19)*가정!$B$6</f>
        <v>0</v>
      </c>
      <c r="K19" s="7" t="n">
        <f aca="false">가정!$B$5+J19</f>
        <v>0</v>
      </c>
      <c r="L19" s="7" t="n">
        <f aca="false">H19-K19</f>
        <v>-4460000</v>
      </c>
      <c r="M19" s="8" t="n">
        <f aca="false">IF(B19=0,0,K19/B19)</f>
        <v>0</v>
      </c>
      <c r="N19" s="7" t="n">
        <f aca="false">K19/가정!$B$8</f>
        <v>0</v>
      </c>
      <c r="O19" s="7" t="str">
        <f aca="false">IF(I19&gt;0,A19,"")</f>
        <v/>
      </c>
      <c r="P19" s="7" t="str">
        <f aca="false">IF(L19&gt;=0,A19,"")</f>
        <v/>
      </c>
      <c r="Q19" s="7" t="str">
        <f aca="false">IF(K19&gt;=가정!$B$28,A19,"")</f>
        <v/>
      </c>
      <c r="R19" s="7" t="str">
        <f aca="false">IF(MAX(0,I19)*(1-가정!$B$6)*'1억 상환'!$B$6&gt;='1억 상환'!$B$5,A19,"")</f>
        <v/>
      </c>
    </row>
    <row r="20" customFormat="false" ht="15" hidden="false" customHeight="false" outlineLevel="0" collapsed="false">
      <c r="A20" s="7" t="n">
        <v>16</v>
      </c>
      <c r="B20" s="7" t="n">
        <f aca="false">A20*가정!$B$10</f>
        <v>4800000</v>
      </c>
      <c r="C20" s="7" t="n">
        <f aca="false">가정!$B$30</f>
        <v>8600000</v>
      </c>
      <c r="D20" s="7" t="n">
        <f aca="false">ROUNDUP(MAX(0,A20-가정!$B$18)/가정!$B$19,0)</f>
        <v>0</v>
      </c>
      <c r="E20" s="7" t="n">
        <f aca="false">D20*가정!$B$20</f>
        <v>0</v>
      </c>
      <c r="F20" s="7" t="n">
        <f aca="false">A20*가정!$B$22+B20*가정!$B$23</f>
        <v>384000</v>
      </c>
      <c r="G20" s="7" t="n">
        <f aca="false">B20*가정!$B$24</f>
        <v>0</v>
      </c>
      <c r="H20" s="7" t="n">
        <f aca="false">B20-C20-E20-F20-G20</f>
        <v>-4184000</v>
      </c>
      <c r="I20" s="7" t="n">
        <f aca="false">H20-IF(가정!$B$7=1,가정!$B$5,0)</f>
        <v>-4184000</v>
      </c>
      <c r="J20" s="7" t="n">
        <f aca="false">MAX(0,I20)*가정!$B$6</f>
        <v>0</v>
      </c>
      <c r="K20" s="7" t="n">
        <f aca="false">가정!$B$5+J20</f>
        <v>0</v>
      </c>
      <c r="L20" s="7" t="n">
        <f aca="false">H20-K20</f>
        <v>-4184000</v>
      </c>
      <c r="M20" s="8" t="n">
        <f aca="false">IF(B20=0,0,K20/B20)</f>
        <v>0</v>
      </c>
      <c r="N20" s="7" t="n">
        <f aca="false">K20/가정!$B$8</f>
        <v>0</v>
      </c>
      <c r="O20" s="7" t="str">
        <f aca="false">IF(I20&gt;0,A20,"")</f>
        <v/>
      </c>
      <c r="P20" s="7" t="str">
        <f aca="false">IF(L20&gt;=0,A20,"")</f>
        <v/>
      </c>
      <c r="Q20" s="7" t="str">
        <f aca="false">IF(K20&gt;=가정!$B$28,A20,"")</f>
        <v/>
      </c>
      <c r="R20" s="7" t="str">
        <f aca="false">IF(MAX(0,I20)*(1-가정!$B$6)*'1억 상환'!$B$6&gt;='1억 상환'!$B$5,A20,"")</f>
        <v/>
      </c>
    </row>
    <row r="21" customFormat="false" ht="15" hidden="false" customHeight="false" outlineLevel="0" collapsed="false">
      <c r="A21" s="7" t="n">
        <v>17</v>
      </c>
      <c r="B21" s="7" t="n">
        <f aca="false">A21*가정!$B$10</f>
        <v>5100000</v>
      </c>
      <c r="C21" s="7" t="n">
        <f aca="false">가정!$B$30</f>
        <v>8600000</v>
      </c>
      <c r="D21" s="7" t="n">
        <f aca="false">ROUNDUP(MAX(0,A21-가정!$B$18)/가정!$B$19,0)</f>
        <v>0</v>
      </c>
      <c r="E21" s="7" t="n">
        <f aca="false">D21*가정!$B$20</f>
        <v>0</v>
      </c>
      <c r="F21" s="7" t="n">
        <f aca="false">A21*가정!$B$22+B21*가정!$B$23</f>
        <v>408000</v>
      </c>
      <c r="G21" s="7" t="n">
        <f aca="false">B21*가정!$B$24</f>
        <v>0</v>
      </c>
      <c r="H21" s="7" t="n">
        <f aca="false">B21-C21-E21-F21-G21</f>
        <v>-3908000</v>
      </c>
      <c r="I21" s="7" t="n">
        <f aca="false">H21-IF(가정!$B$7=1,가정!$B$5,0)</f>
        <v>-3908000</v>
      </c>
      <c r="J21" s="7" t="n">
        <f aca="false">MAX(0,I21)*가정!$B$6</f>
        <v>0</v>
      </c>
      <c r="K21" s="7" t="n">
        <f aca="false">가정!$B$5+J21</f>
        <v>0</v>
      </c>
      <c r="L21" s="7" t="n">
        <f aca="false">H21-K21</f>
        <v>-3908000</v>
      </c>
      <c r="M21" s="8" t="n">
        <f aca="false">IF(B21=0,0,K21/B21)</f>
        <v>0</v>
      </c>
      <c r="N21" s="7" t="n">
        <f aca="false">K21/가정!$B$8</f>
        <v>0</v>
      </c>
      <c r="O21" s="7" t="str">
        <f aca="false">IF(I21&gt;0,A21,"")</f>
        <v/>
      </c>
      <c r="P21" s="7" t="str">
        <f aca="false">IF(L21&gt;=0,A21,"")</f>
        <v/>
      </c>
      <c r="Q21" s="7" t="str">
        <f aca="false">IF(K21&gt;=가정!$B$28,A21,"")</f>
        <v/>
      </c>
      <c r="R21" s="7" t="str">
        <f aca="false">IF(MAX(0,I21)*(1-가정!$B$6)*'1억 상환'!$B$6&gt;='1억 상환'!$B$5,A21,"")</f>
        <v/>
      </c>
    </row>
    <row r="22" customFormat="false" ht="15" hidden="false" customHeight="false" outlineLevel="0" collapsed="false">
      <c r="A22" s="7" t="n">
        <v>18</v>
      </c>
      <c r="B22" s="7" t="n">
        <f aca="false">A22*가정!$B$10</f>
        <v>5400000</v>
      </c>
      <c r="C22" s="7" t="n">
        <f aca="false">가정!$B$30</f>
        <v>8600000</v>
      </c>
      <c r="D22" s="7" t="n">
        <f aca="false">ROUNDUP(MAX(0,A22-가정!$B$18)/가정!$B$19,0)</f>
        <v>0</v>
      </c>
      <c r="E22" s="7" t="n">
        <f aca="false">D22*가정!$B$20</f>
        <v>0</v>
      </c>
      <c r="F22" s="7" t="n">
        <f aca="false">A22*가정!$B$22+B22*가정!$B$23</f>
        <v>432000</v>
      </c>
      <c r="G22" s="7" t="n">
        <f aca="false">B22*가정!$B$24</f>
        <v>0</v>
      </c>
      <c r="H22" s="7" t="n">
        <f aca="false">B22-C22-E22-F22-G22</f>
        <v>-3632000</v>
      </c>
      <c r="I22" s="7" t="n">
        <f aca="false">H22-IF(가정!$B$7=1,가정!$B$5,0)</f>
        <v>-3632000</v>
      </c>
      <c r="J22" s="7" t="n">
        <f aca="false">MAX(0,I22)*가정!$B$6</f>
        <v>0</v>
      </c>
      <c r="K22" s="7" t="n">
        <f aca="false">가정!$B$5+J22</f>
        <v>0</v>
      </c>
      <c r="L22" s="7" t="n">
        <f aca="false">H22-K22</f>
        <v>-3632000</v>
      </c>
      <c r="M22" s="8" t="n">
        <f aca="false">IF(B22=0,0,K22/B22)</f>
        <v>0</v>
      </c>
      <c r="N22" s="7" t="n">
        <f aca="false">K22/가정!$B$8</f>
        <v>0</v>
      </c>
      <c r="O22" s="7" t="str">
        <f aca="false">IF(I22&gt;0,A22,"")</f>
        <v/>
      </c>
      <c r="P22" s="7" t="str">
        <f aca="false">IF(L22&gt;=0,A22,"")</f>
        <v/>
      </c>
      <c r="Q22" s="7" t="str">
        <f aca="false">IF(K22&gt;=가정!$B$28,A22,"")</f>
        <v/>
      </c>
      <c r="R22" s="7" t="str">
        <f aca="false">IF(MAX(0,I22)*(1-가정!$B$6)*'1억 상환'!$B$6&gt;='1억 상환'!$B$5,A22,"")</f>
        <v/>
      </c>
    </row>
    <row r="23" customFormat="false" ht="15" hidden="false" customHeight="false" outlineLevel="0" collapsed="false">
      <c r="A23" s="7" t="n">
        <v>19</v>
      </c>
      <c r="B23" s="7" t="n">
        <f aca="false">A23*가정!$B$10</f>
        <v>5700000</v>
      </c>
      <c r="C23" s="7" t="n">
        <f aca="false">가정!$B$30</f>
        <v>8600000</v>
      </c>
      <c r="D23" s="7" t="n">
        <f aca="false">ROUNDUP(MAX(0,A23-가정!$B$18)/가정!$B$19,0)</f>
        <v>0</v>
      </c>
      <c r="E23" s="7" t="n">
        <f aca="false">D23*가정!$B$20</f>
        <v>0</v>
      </c>
      <c r="F23" s="7" t="n">
        <f aca="false">A23*가정!$B$22+B23*가정!$B$23</f>
        <v>456000</v>
      </c>
      <c r="G23" s="7" t="n">
        <f aca="false">B23*가정!$B$24</f>
        <v>0</v>
      </c>
      <c r="H23" s="7" t="n">
        <f aca="false">B23-C23-E23-F23-G23</f>
        <v>-3356000</v>
      </c>
      <c r="I23" s="7" t="n">
        <f aca="false">H23-IF(가정!$B$7=1,가정!$B$5,0)</f>
        <v>-3356000</v>
      </c>
      <c r="J23" s="7" t="n">
        <f aca="false">MAX(0,I23)*가정!$B$6</f>
        <v>0</v>
      </c>
      <c r="K23" s="7" t="n">
        <f aca="false">가정!$B$5+J23</f>
        <v>0</v>
      </c>
      <c r="L23" s="7" t="n">
        <f aca="false">H23-K23</f>
        <v>-3356000</v>
      </c>
      <c r="M23" s="8" t="n">
        <f aca="false">IF(B23=0,0,K23/B23)</f>
        <v>0</v>
      </c>
      <c r="N23" s="7" t="n">
        <f aca="false">K23/가정!$B$8</f>
        <v>0</v>
      </c>
      <c r="O23" s="7" t="str">
        <f aca="false">IF(I23&gt;0,A23,"")</f>
        <v/>
      </c>
      <c r="P23" s="7" t="str">
        <f aca="false">IF(L23&gt;=0,A23,"")</f>
        <v/>
      </c>
      <c r="Q23" s="7" t="str">
        <f aca="false">IF(K23&gt;=가정!$B$28,A23,"")</f>
        <v/>
      </c>
      <c r="R23" s="7" t="str">
        <f aca="false">IF(MAX(0,I23)*(1-가정!$B$6)*'1억 상환'!$B$6&gt;='1억 상환'!$B$5,A23,"")</f>
        <v/>
      </c>
    </row>
    <row r="24" customFormat="false" ht="15" hidden="false" customHeight="false" outlineLevel="0" collapsed="false">
      <c r="A24" s="7" t="n">
        <v>20</v>
      </c>
      <c r="B24" s="7" t="n">
        <f aca="false">A24*가정!$B$10</f>
        <v>6000000</v>
      </c>
      <c r="C24" s="7" t="n">
        <f aca="false">가정!$B$30</f>
        <v>8600000</v>
      </c>
      <c r="D24" s="7" t="n">
        <f aca="false">ROUNDUP(MAX(0,A24-가정!$B$18)/가정!$B$19,0)</f>
        <v>0</v>
      </c>
      <c r="E24" s="7" t="n">
        <f aca="false">D24*가정!$B$20</f>
        <v>0</v>
      </c>
      <c r="F24" s="7" t="n">
        <f aca="false">A24*가정!$B$22+B24*가정!$B$23</f>
        <v>480000</v>
      </c>
      <c r="G24" s="7" t="n">
        <f aca="false">B24*가정!$B$24</f>
        <v>0</v>
      </c>
      <c r="H24" s="7" t="n">
        <f aca="false">B24-C24-E24-F24-G24</f>
        <v>-3080000</v>
      </c>
      <c r="I24" s="7" t="n">
        <f aca="false">H24-IF(가정!$B$7=1,가정!$B$5,0)</f>
        <v>-3080000</v>
      </c>
      <c r="J24" s="7" t="n">
        <f aca="false">MAX(0,I24)*가정!$B$6</f>
        <v>0</v>
      </c>
      <c r="K24" s="7" t="n">
        <f aca="false">가정!$B$5+J24</f>
        <v>0</v>
      </c>
      <c r="L24" s="7" t="n">
        <f aca="false">H24-K24</f>
        <v>-3080000</v>
      </c>
      <c r="M24" s="8" t="n">
        <f aca="false">IF(B24=0,0,K24/B24)</f>
        <v>0</v>
      </c>
      <c r="N24" s="7" t="n">
        <f aca="false">K24/가정!$B$8</f>
        <v>0</v>
      </c>
      <c r="O24" s="7" t="str">
        <f aca="false">IF(I24&gt;0,A24,"")</f>
        <v/>
      </c>
      <c r="P24" s="7" t="str">
        <f aca="false">IF(L24&gt;=0,A24,"")</f>
        <v/>
      </c>
      <c r="Q24" s="7" t="str">
        <f aca="false">IF(K24&gt;=가정!$B$28,A24,"")</f>
        <v/>
      </c>
      <c r="R24" s="7" t="str">
        <f aca="false">IF(MAX(0,I24)*(1-가정!$B$6)*'1억 상환'!$B$6&gt;='1억 상환'!$B$5,A24,"")</f>
        <v/>
      </c>
    </row>
    <row r="25" customFormat="false" ht="15" hidden="false" customHeight="false" outlineLevel="0" collapsed="false">
      <c r="A25" s="7" t="n">
        <v>21</v>
      </c>
      <c r="B25" s="7" t="n">
        <f aca="false">A25*가정!$B$10</f>
        <v>6300000</v>
      </c>
      <c r="C25" s="7" t="n">
        <f aca="false">가정!$B$30</f>
        <v>8600000</v>
      </c>
      <c r="D25" s="7" t="n">
        <f aca="false">ROUNDUP(MAX(0,A25-가정!$B$18)/가정!$B$19,0)</f>
        <v>1</v>
      </c>
      <c r="E25" s="7" t="n">
        <f aca="false">D25*가정!$B$20</f>
        <v>2800000</v>
      </c>
      <c r="F25" s="7" t="n">
        <f aca="false">A25*가정!$B$22+B25*가정!$B$23</f>
        <v>504000</v>
      </c>
      <c r="G25" s="7" t="n">
        <f aca="false">B25*가정!$B$24</f>
        <v>0</v>
      </c>
      <c r="H25" s="7" t="n">
        <f aca="false">B25-C25-E25-F25-G25</f>
        <v>-5604000</v>
      </c>
      <c r="I25" s="7" t="n">
        <f aca="false">H25-IF(가정!$B$7=1,가정!$B$5,0)</f>
        <v>-5604000</v>
      </c>
      <c r="J25" s="7" t="n">
        <f aca="false">MAX(0,I25)*가정!$B$6</f>
        <v>0</v>
      </c>
      <c r="K25" s="7" t="n">
        <f aca="false">가정!$B$5+J25</f>
        <v>0</v>
      </c>
      <c r="L25" s="7" t="n">
        <f aca="false">H25-K25</f>
        <v>-5604000</v>
      </c>
      <c r="M25" s="8" t="n">
        <f aca="false">IF(B25=0,0,K25/B25)</f>
        <v>0</v>
      </c>
      <c r="N25" s="7" t="n">
        <f aca="false">K25/가정!$B$8</f>
        <v>0</v>
      </c>
      <c r="O25" s="7" t="str">
        <f aca="false">IF(I25&gt;0,A25,"")</f>
        <v/>
      </c>
      <c r="P25" s="7" t="str">
        <f aca="false">IF(L25&gt;=0,A25,"")</f>
        <v/>
      </c>
      <c r="Q25" s="7" t="str">
        <f aca="false">IF(K25&gt;=가정!$B$28,A25,"")</f>
        <v/>
      </c>
      <c r="R25" s="7" t="str">
        <f aca="false">IF(MAX(0,I25)*(1-가정!$B$6)*'1억 상환'!$B$6&gt;='1억 상환'!$B$5,A25,"")</f>
        <v/>
      </c>
    </row>
    <row r="26" customFormat="false" ht="15" hidden="false" customHeight="false" outlineLevel="0" collapsed="false">
      <c r="A26" s="7" t="n">
        <v>22</v>
      </c>
      <c r="B26" s="7" t="n">
        <f aca="false">A26*가정!$B$10</f>
        <v>6600000</v>
      </c>
      <c r="C26" s="7" t="n">
        <f aca="false">가정!$B$30</f>
        <v>8600000</v>
      </c>
      <c r="D26" s="7" t="n">
        <f aca="false">ROUNDUP(MAX(0,A26-가정!$B$18)/가정!$B$19,0)</f>
        <v>1</v>
      </c>
      <c r="E26" s="7" t="n">
        <f aca="false">D26*가정!$B$20</f>
        <v>2800000</v>
      </c>
      <c r="F26" s="7" t="n">
        <f aca="false">A26*가정!$B$22+B26*가정!$B$23</f>
        <v>528000</v>
      </c>
      <c r="G26" s="7" t="n">
        <f aca="false">B26*가정!$B$24</f>
        <v>0</v>
      </c>
      <c r="H26" s="7" t="n">
        <f aca="false">B26-C26-E26-F26-G26</f>
        <v>-5328000</v>
      </c>
      <c r="I26" s="7" t="n">
        <f aca="false">H26-IF(가정!$B$7=1,가정!$B$5,0)</f>
        <v>-5328000</v>
      </c>
      <c r="J26" s="7" t="n">
        <f aca="false">MAX(0,I26)*가정!$B$6</f>
        <v>0</v>
      </c>
      <c r="K26" s="7" t="n">
        <f aca="false">가정!$B$5+J26</f>
        <v>0</v>
      </c>
      <c r="L26" s="7" t="n">
        <f aca="false">H26-K26</f>
        <v>-5328000</v>
      </c>
      <c r="M26" s="8" t="n">
        <f aca="false">IF(B26=0,0,K26/B26)</f>
        <v>0</v>
      </c>
      <c r="N26" s="7" t="n">
        <f aca="false">K26/가정!$B$8</f>
        <v>0</v>
      </c>
      <c r="O26" s="7" t="str">
        <f aca="false">IF(I26&gt;0,A26,"")</f>
        <v/>
      </c>
      <c r="P26" s="7" t="str">
        <f aca="false">IF(L26&gt;=0,A26,"")</f>
        <v/>
      </c>
      <c r="Q26" s="7" t="str">
        <f aca="false">IF(K26&gt;=가정!$B$28,A26,"")</f>
        <v/>
      </c>
      <c r="R26" s="7" t="str">
        <f aca="false">IF(MAX(0,I26)*(1-가정!$B$6)*'1억 상환'!$B$6&gt;='1억 상환'!$B$5,A26,"")</f>
        <v/>
      </c>
    </row>
    <row r="27" customFormat="false" ht="15" hidden="false" customHeight="false" outlineLevel="0" collapsed="false">
      <c r="A27" s="7" t="n">
        <v>23</v>
      </c>
      <c r="B27" s="7" t="n">
        <f aca="false">A27*가정!$B$10</f>
        <v>6900000</v>
      </c>
      <c r="C27" s="7" t="n">
        <f aca="false">가정!$B$30</f>
        <v>8600000</v>
      </c>
      <c r="D27" s="7" t="n">
        <f aca="false">ROUNDUP(MAX(0,A27-가정!$B$18)/가정!$B$19,0)</f>
        <v>1</v>
      </c>
      <c r="E27" s="7" t="n">
        <f aca="false">D27*가정!$B$20</f>
        <v>2800000</v>
      </c>
      <c r="F27" s="7" t="n">
        <f aca="false">A27*가정!$B$22+B27*가정!$B$23</f>
        <v>552000</v>
      </c>
      <c r="G27" s="7" t="n">
        <f aca="false">B27*가정!$B$24</f>
        <v>0</v>
      </c>
      <c r="H27" s="7" t="n">
        <f aca="false">B27-C27-E27-F27-G27</f>
        <v>-5052000</v>
      </c>
      <c r="I27" s="7" t="n">
        <f aca="false">H27-IF(가정!$B$7=1,가정!$B$5,0)</f>
        <v>-5052000</v>
      </c>
      <c r="J27" s="7" t="n">
        <f aca="false">MAX(0,I27)*가정!$B$6</f>
        <v>0</v>
      </c>
      <c r="K27" s="7" t="n">
        <f aca="false">가정!$B$5+J27</f>
        <v>0</v>
      </c>
      <c r="L27" s="7" t="n">
        <f aca="false">H27-K27</f>
        <v>-5052000</v>
      </c>
      <c r="M27" s="8" t="n">
        <f aca="false">IF(B27=0,0,K27/B27)</f>
        <v>0</v>
      </c>
      <c r="N27" s="7" t="n">
        <f aca="false">K27/가정!$B$8</f>
        <v>0</v>
      </c>
      <c r="O27" s="7" t="str">
        <f aca="false">IF(I27&gt;0,A27,"")</f>
        <v/>
      </c>
      <c r="P27" s="7" t="str">
        <f aca="false">IF(L27&gt;=0,A27,"")</f>
        <v/>
      </c>
      <c r="Q27" s="7" t="str">
        <f aca="false">IF(K27&gt;=가정!$B$28,A27,"")</f>
        <v/>
      </c>
      <c r="R27" s="7" t="str">
        <f aca="false">IF(MAX(0,I27)*(1-가정!$B$6)*'1억 상환'!$B$6&gt;='1억 상환'!$B$5,A27,"")</f>
        <v/>
      </c>
    </row>
    <row r="28" customFormat="false" ht="15" hidden="false" customHeight="false" outlineLevel="0" collapsed="false">
      <c r="A28" s="7" t="n">
        <v>24</v>
      </c>
      <c r="B28" s="7" t="n">
        <f aca="false">A28*가정!$B$10</f>
        <v>7200000</v>
      </c>
      <c r="C28" s="7" t="n">
        <f aca="false">가정!$B$30</f>
        <v>8600000</v>
      </c>
      <c r="D28" s="7" t="n">
        <f aca="false">ROUNDUP(MAX(0,A28-가정!$B$18)/가정!$B$19,0)</f>
        <v>1</v>
      </c>
      <c r="E28" s="7" t="n">
        <f aca="false">D28*가정!$B$20</f>
        <v>2800000</v>
      </c>
      <c r="F28" s="7" t="n">
        <f aca="false">A28*가정!$B$22+B28*가정!$B$23</f>
        <v>576000</v>
      </c>
      <c r="G28" s="7" t="n">
        <f aca="false">B28*가정!$B$24</f>
        <v>0</v>
      </c>
      <c r="H28" s="7" t="n">
        <f aca="false">B28-C28-E28-F28-G28</f>
        <v>-4776000</v>
      </c>
      <c r="I28" s="7" t="n">
        <f aca="false">H28-IF(가정!$B$7=1,가정!$B$5,0)</f>
        <v>-4776000</v>
      </c>
      <c r="J28" s="7" t="n">
        <f aca="false">MAX(0,I28)*가정!$B$6</f>
        <v>0</v>
      </c>
      <c r="K28" s="7" t="n">
        <f aca="false">가정!$B$5+J28</f>
        <v>0</v>
      </c>
      <c r="L28" s="7" t="n">
        <f aca="false">H28-K28</f>
        <v>-4776000</v>
      </c>
      <c r="M28" s="8" t="n">
        <f aca="false">IF(B28=0,0,K28/B28)</f>
        <v>0</v>
      </c>
      <c r="N28" s="7" t="n">
        <f aca="false">K28/가정!$B$8</f>
        <v>0</v>
      </c>
      <c r="O28" s="7" t="str">
        <f aca="false">IF(I28&gt;0,A28,"")</f>
        <v/>
      </c>
      <c r="P28" s="7" t="str">
        <f aca="false">IF(L28&gt;=0,A28,"")</f>
        <v/>
      </c>
      <c r="Q28" s="7" t="str">
        <f aca="false">IF(K28&gt;=가정!$B$28,A28,"")</f>
        <v/>
      </c>
      <c r="R28" s="7" t="str">
        <f aca="false">IF(MAX(0,I28)*(1-가정!$B$6)*'1억 상환'!$B$6&gt;='1억 상환'!$B$5,A28,"")</f>
        <v/>
      </c>
    </row>
    <row r="29" customFormat="false" ht="15" hidden="false" customHeight="false" outlineLevel="0" collapsed="false">
      <c r="A29" s="7" t="n">
        <v>25</v>
      </c>
      <c r="B29" s="7" t="n">
        <f aca="false">A29*가정!$B$10</f>
        <v>7500000</v>
      </c>
      <c r="C29" s="7" t="n">
        <f aca="false">가정!$B$30</f>
        <v>8600000</v>
      </c>
      <c r="D29" s="7" t="n">
        <f aca="false">ROUNDUP(MAX(0,A29-가정!$B$18)/가정!$B$19,0)</f>
        <v>1</v>
      </c>
      <c r="E29" s="7" t="n">
        <f aca="false">D29*가정!$B$20</f>
        <v>2800000</v>
      </c>
      <c r="F29" s="7" t="n">
        <f aca="false">A29*가정!$B$22+B29*가정!$B$23</f>
        <v>600000</v>
      </c>
      <c r="G29" s="7" t="n">
        <f aca="false">B29*가정!$B$24</f>
        <v>0</v>
      </c>
      <c r="H29" s="7" t="n">
        <f aca="false">B29-C29-E29-F29-G29</f>
        <v>-4500000</v>
      </c>
      <c r="I29" s="7" t="n">
        <f aca="false">H29-IF(가정!$B$7=1,가정!$B$5,0)</f>
        <v>-4500000</v>
      </c>
      <c r="J29" s="7" t="n">
        <f aca="false">MAX(0,I29)*가정!$B$6</f>
        <v>0</v>
      </c>
      <c r="K29" s="7" t="n">
        <f aca="false">가정!$B$5+J29</f>
        <v>0</v>
      </c>
      <c r="L29" s="7" t="n">
        <f aca="false">H29-K29</f>
        <v>-4500000</v>
      </c>
      <c r="M29" s="8" t="n">
        <f aca="false">IF(B29=0,0,K29/B29)</f>
        <v>0</v>
      </c>
      <c r="N29" s="7" t="n">
        <f aca="false">K29/가정!$B$8</f>
        <v>0</v>
      </c>
      <c r="O29" s="7" t="str">
        <f aca="false">IF(I29&gt;0,A29,"")</f>
        <v/>
      </c>
      <c r="P29" s="7" t="str">
        <f aca="false">IF(L29&gt;=0,A29,"")</f>
        <v/>
      </c>
      <c r="Q29" s="7" t="str">
        <f aca="false">IF(K29&gt;=가정!$B$28,A29,"")</f>
        <v/>
      </c>
      <c r="R29" s="7" t="str">
        <f aca="false">IF(MAX(0,I29)*(1-가정!$B$6)*'1억 상환'!$B$6&gt;='1억 상환'!$B$5,A29,"")</f>
        <v/>
      </c>
    </row>
    <row r="30" customFormat="false" ht="15" hidden="false" customHeight="false" outlineLevel="0" collapsed="false">
      <c r="A30" s="7" t="n">
        <v>26</v>
      </c>
      <c r="B30" s="7" t="n">
        <f aca="false">A30*가정!$B$10</f>
        <v>7800000</v>
      </c>
      <c r="C30" s="7" t="n">
        <f aca="false">가정!$B$30</f>
        <v>8600000</v>
      </c>
      <c r="D30" s="7" t="n">
        <f aca="false">ROUNDUP(MAX(0,A30-가정!$B$18)/가정!$B$19,0)</f>
        <v>1</v>
      </c>
      <c r="E30" s="7" t="n">
        <f aca="false">D30*가정!$B$20</f>
        <v>2800000</v>
      </c>
      <c r="F30" s="7" t="n">
        <f aca="false">A30*가정!$B$22+B30*가정!$B$23</f>
        <v>624000</v>
      </c>
      <c r="G30" s="7" t="n">
        <f aca="false">B30*가정!$B$24</f>
        <v>0</v>
      </c>
      <c r="H30" s="7" t="n">
        <f aca="false">B30-C30-E30-F30-G30</f>
        <v>-4224000</v>
      </c>
      <c r="I30" s="7" t="n">
        <f aca="false">H30-IF(가정!$B$7=1,가정!$B$5,0)</f>
        <v>-4224000</v>
      </c>
      <c r="J30" s="7" t="n">
        <f aca="false">MAX(0,I30)*가정!$B$6</f>
        <v>0</v>
      </c>
      <c r="K30" s="7" t="n">
        <f aca="false">가정!$B$5+J30</f>
        <v>0</v>
      </c>
      <c r="L30" s="7" t="n">
        <f aca="false">H30-K30</f>
        <v>-4224000</v>
      </c>
      <c r="M30" s="8" t="n">
        <f aca="false">IF(B30=0,0,K30/B30)</f>
        <v>0</v>
      </c>
      <c r="N30" s="7" t="n">
        <f aca="false">K30/가정!$B$8</f>
        <v>0</v>
      </c>
      <c r="O30" s="7" t="str">
        <f aca="false">IF(I30&gt;0,A30,"")</f>
        <v/>
      </c>
      <c r="P30" s="7" t="str">
        <f aca="false">IF(L30&gt;=0,A30,"")</f>
        <v/>
      </c>
      <c r="Q30" s="7" t="str">
        <f aca="false">IF(K30&gt;=가정!$B$28,A30,"")</f>
        <v/>
      </c>
      <c r="R30" s="7" t="str">
        <f aca="false">IF(MAX(0,I30)*(1-가정!$B$6)*'1억 상환'!$B$6&gt;='1억 상환'!$B$5,A30,"")</f>
        <v/>
      </c>
    </row>
    <row r="31" customFormat="false" ht="15" hidden="false" customHeight="false" outlineLevel="0" collapsed="false">
      <c r="A31" s="7" t="n">
        <v>27</v>
      </c>
      <c r="B31" s="7" t="n">
        <f aca="false">A31*가정!$B$10</f>
        <v>8100000</v>
      </c>
      <c r="C31" s="7" t="n">
        <f aca="false">가정!$B$30</f>
        <v>8600000</v>
      </c>
      <c r="D31" s="7" t="n">
        <f aca="false">ROUNDUP(MAX(0,A31-가정!$B$18)/가정!$B$19,0)</f>
        <v>1</v>
      </c>
      <c r="E31" s="7" t="n">
        <f aca="false">D31*가정!$B$20</f>
        <v>2800000</v>
      </c>
      <c r="F31" s="7" t="n">
        <f aca="false">A31*가정!$B$22+B31*가정!$B$23</f>
        <v>648000</v>
      </c>
      <c r="G31" s="7" t="n">
        <f aca="false">B31*가정!$B$24</f>
        <v>0</v>
      </c>
      <c r="H31" s="7" t="n">
        <f aca="false">B31-C31-E31-F31-G31</f>
        <v>-3948000</v>
      </c>
      <c r="I31" s="7" t="n">
        <f aca="false">H31-IF(가정!$B$7=1,가정!$B$5,0)</f>
        <v>-3948000</v>
      </c>
      <c r="J31" s="7" t="n">
        <f aca="false">MAX(0,I31)*가정!$B$6</f>
        <v>0</v>
      </c>
      <c r="K31" s="7" t="n">
        <f aca="false">가정!$B$5+J31</f>
        <v>0</v>
      </c>
      <c r="L31" s="7" t="n">
        <f aca="false">H31-K31</f>
        <v>-3948000</v>
      </c>
      <c r="M31" s="8" t="n">
        <f aca="false">IF(B31=0,0,K31/B31)</f>
        <v>0</v>
      </c>
      <c r="N31" s="7" t="n">
        <f aca="false">K31/가정!$B$8</f>
        <v>0</v>
      </c>
      <c r="O31" s="7" t="str">
        <f aca="false">IF(I31&gt;0,A31,"")</f>
        <v/>
      </c>
      <c r="P31" s="7" t="str">
        <f aca="false">IF(L31&gt;=0,A31,"")</f>
        <v/>
      </c>
      <c r="Q31" s="7" t="str">
        <f aca="false">IF(K31&gt;=가정!$B$28,A31,"")</f>
        <v/>
      </c>
      <c r="R31" s="7" t="str">
        <f aca="false">IF(MAX(0,I31)*(1-가정!$B$6)*'1억 상환'!$B$6&gt;='1억 상환'!$B$5,A31,"")</f>
        <v/>
      </c>
    </row>
    <row r="32" customFormat="false" ht="15" hidden="false" customHeight="false" outlineLevel="0" collapsed="false">
      <c r="A32" s="7" t="n">
        <v>28</v>
      </c>
      <c r="B32" s="7" t="n">
        <f aca="false">A32*가정!$B$10</f>
        <v>8400000</v>
      </c>
      <c r="C32" s="7" t="n">
        <f aca="false">가정!$B$30</f>
        <v>8600000</v>
      </c>
      <c r="D32" s="7" t="n">
        <f aca="false">ROUNDUP(MAX(0,A32-가정!$B$18)/가정!$B$19,0)</f>
        <v>1</v>
      </c>
      <c r="E32" s="7" t="n">
        <f aca="false">D32*가정!$B$20</f>
        <v>2800000</v>
      </c>
      <c r="F32" s="7" t="n">
        <f aca="false">A32*가정!$B$22+B32*가정!$B$23</f>
        <v>672000</v>
      </c>
      <c r="G32" s="7" t="n">
        <f aca="false">B32*가정!$B$24</f>
        <v>0</v>
      </c>
      <c r="H32" s="7" t="n">
        <f aca="false">B32-C32-E32-F32-G32</f>
        <v>-3672000</v>
      </c>
      <c r="I32" s="7" t="n">
        <f aca="false">H32-IF(가정!$B$7=1,가정!$B$5,0)</f>
        <v>-3672000</v>
      </c>
      <c r="J32" s="7" t="n">
        <f aca="false">MAX(0,I32)*가정!$B$6</f>
        <v>0</v>
      </c>
      <c r="K32" s="7" t="n">
        <f aca="false">가정!$B$5+J32</f>
        <v>0</v>
      </c>
      <c r="L32" s="7" t="n">
        <f aca="false">H32-K32</f>
        <v>-3672000</v>
      </c>
      <c r="M32" s="8" t="n">
        <f aca="false">IF(B32=0,0,K32/B32)</f>
        <v>0</v>
      </c>
      <c r="N32" s="7" t="n">
        <f aca="false">K32/가정!$B$8</f>
        <v>0</v>
      </c>
      <c r="O32" s="7" t="str">
        <f aca="false">IF(I32&gt;0,A32,"")</f>
        <v/>
      </c>
      <c r="P32" s="7" t="str">
        <f aca="false">IF(L32&gt;=0,A32,"")</f>
        <v/>
      </c>
      <c r="Q32" s="7" t="str">
        <f aca="false">IF(K32&gt;=가정!$B$28,A32,"")</f>
        <v/>
      </c>
      <c r="R32" s="7" t="str">
        <f aca="false">IF(MAX(0,I32)*(1-가정!$B$6)*'1억 상환'!$B$6&gt;='1억 상환'!$B$5,A32,"")</f>
        <v/>
      </c>
    </row>
    <row r="33" customFormat="false" ht="15" hidden="false" customHeight="false" outlineLevel="0" collapsed="false">
      <c r="A33" s="7" t="n">
        <v>29</v>
      </c>
      <c r="B33" s="7" t="n">
        <f aca="false">A33*가정!$B$10</f>
        <v>8700000</v>
      </c>
      <c r="C33" s="7" t="n">
        <f aca="false">가정!$B$30</f>
        <v>8600000</v>
      </c>
      <c r="D33" s="7" t="n">
        <f aca="false">ROUNDUP(MAX(0,A33-가정!$B$18)/가정!$B$19,0)</f>
        <v>1</v>
      </c>
      <c r="E33" s="7" t="n">
        <f aca="false">D33*가정!$B$20</f>
        <v>2800000</v>
      </c>
      <c r="F33" s="7" t="n">
        <f aca="false">A33*가정!$B$22+B33*가정!$B$23</f>
        <v>696000</v>
      </c>
      <c r="G33" s="7" t="n">
        <f aca="false">B33*가정!$B$24</f>
        <v>0</v>
      </c>
      <c r="H33" s="7" t="n">
        <f aca="false">B33-C33-E33-F33-G33</f>
        <v>-3396000</v>
      </c>
      <c r="I33" s="7" t="n">
        <f aca="false">H33-IF(가정!$B$7=1,가정!$B$5,0)</f>
        <v>-3396000</v>
      </c>
      <c r="J33" s="7" t="n">
        <f aca="false">MAX(0,I33)*가정!$B$6</f>
        <v>0</v>
      </c>
      <c r="K33" s="7" t="n">
        <f aca="false">가정!$B$5+J33</f>
        <v>0</v>
      </c>
      <c r="L33" s="7" t="n">
        <f aca="false">H33-K33</f>
        <v>-3396000</v>
      </c>
      <c r="M33" s="8" t="n">
        <f aca="false">IF(B33=0,0,K33/B33)</f>
        <v>0</v>
      </c>
      <c r="N33" s="7" t="n">
        <f aca="false">K33/가정!$B$8</f>
        <v>0</v>
      </c>
      <c r="O33" s="7" t="str">
        <f aca="false">IF(I33&gt;0,A33,"")</f>
        <v/>
      </c>
      <c r="P33" s="7" t="str">
        <f aca="false">IF(L33&gt;=0,A33,"")</f>
        <v/>
      </c>
      <c r="Q33" s="7" t="str">
        <f aca="false">IF(K33&gt;=가정!$B$28,A33,"")</f>
        <v/>
      </c>
      <c r="R33" s="7" t="str">
        <f aca="false">IF(MAX(0,I33)*(1-가정!$B$6)*'1억 상환'!$B$6&gt;='1억 상환'!$B$5,A33,"")</f>
        <v/>
      </c>
    </row>
    <row r="34" customFormat="false" ht="15" hidden="false" customHeight="false" outlineLevel="0" collapsed="false">
      <c r="A34" s="7" t="n">
        <v>30</v>
      </c>
      <c r="B34" s="7" t="n">
        <f aca="false">A34*가정!$B$10</f>
        <v>9000000</v>
      </c>
      <c r="C34" s="7" t="n">
        <f aca="false">가정!$B$30</f>
        <v>8600000</v>
      </c>
      <c r="D34" s="7" t="n">
        <f aca="false">ROUNDUP(MAX(0,A34-가정!$B$18)/가정!$B$19,0)</f>
        <v>1</v>
      </c>
      <c r="E34" s="7" t="n">
        <f aca="false">D34*가정!$B$20</f>
        <v>2800000</v>
      </c>
      <c r="F34" s="7" t="n">
        <f aca="false">A34*가정!$B$22+B34*가정!$B$23</f>
        <v>720000</v>
      </c>
      <c r="G34" s="7" t="n">
        <f aca="false">B34*가정!$B$24</f>
        <v>0</v>
      </c>
      <c r="H34" s="7" t="n">
        <f aca="false">B34-C34-E34-F34-G34</f>
        <v>-3120000</v>
      </c>
      <c r="I34" s="7" t="n">
        <f aca="false">H34-IF(가정!$B$7=1,가정!$B$5,0)</f>
        <v>-3120000</v>
      </c>
      <c r="J34" s="7" t="n">
        <f aca="false">MAX(0,I34)*가정!$B$6</f>
        <v>0</v>
      </c>
      <c r="K34" s="7" t="n">
        <f aca="false">가정!$B$5+J34</f>
        <v>0</v>
      </c>
      <c r="L34" s="7" t="n">
        <f aca="false">H34-K34</f>
        <v>-3120000</v>
      </c>
      <c r="M34" s="8" t="n">
        <f aca="false">IF(B34=0,0,K34/B34)</f>
        <v>0</v>
      </c>
      <c r="N34" s="7" t="n">
        <f aca="false">K34/가정!$B$8</f>
        <v>0</v>
      </c>
      <c r="O34" s="7" t="str">
        <f aca="false">IF(I34&gt;0,A34,"")</f>
        <v/>
      </c>
      <c r="P34" s="7" t="str">
        <f aca="false">IF(L34&gt;=0,A34,"")</f>
        <v/>
      </c>
      <c r="Q34" s="7" t="str">
        <f aca="false">IF(K34&gt;=가정!$B$28,A34,"")</f>
        <v/>
      </c>
      <c r="R34" s="7" t="str">
        <f aca="false">IF(MAX(0,I34)*(1-가정!$B$6)*'1억 상환'!$B$6&gt;='1억 상환'!$B$5,A34,"")</f>
        <v/>
      </c>
    </row>
    <row r="35" customFormat="false" ht="15" hidden="false" customHeight="false" outlineLevel="0" collapsed="false">
      <c r="A35" s="7" t="n">
        <v>31</v>
      </c>
      <c r="B35" s="7" t="n">
        <f aca="false">A35*가정!$B$10</f>
        <v>9300000</v>
      </c>
      <c r="C35" s="7" t="n">
        <f aca="false">가정!$B$30</f>
        <v>8600000</v>
      </c>
      <c r="D35" s="7" t="n">
        <f aca="false">ROUNDUP(MAX(0,A35-가정!$B$18)/가정!$B$19,0)</f>
        <v>1</v>
      </c>
      <c r="E35" s="7" t="n">
        <f aca="false">D35*가정!$B$20</f>
        <v>2800000</v>
      </c>
      <c r="F35" s="7" t="n">
        <f aca="false">A35*가정!$B$22+B35*가정!$B$23</f>
        <v>744000</v>
      </c>
      <c r="G35" s="7" t="n">
        <f aca="false">B35*가정!$B$24</f>
        <v>0</v>
      </c>
      <c r="H35" s="7" t="n">
        <f aca="false">B35-C35-E35-F35-G35</f>
        <v>-2844000</v>
      </c>
      <c r="I35" s="7" t="n">
        <f aca="false">H35-IF(가정!$B$7=1,가정!$B$5,0)</f>
        <v>-2844000</v>
      </c>
      <c r="J35" s="7" t="n">
        <f aca="false">MAX(0,I35)*가정!$B$6</f>
        <v>0</v>
      </c>
      <c r="K35" s="7" t="n">
        <f aca="false">가정!$B$5+J35</f>
        <v>0</v>
      </c>
      <c r="L35" s="7" t="n">
        <f aca="false">H35-K35</f>
        <v>-2844000</v>
      </c>
      <c r="M35" s="8" t="n">
        <f aca="false">IF(B35=0,0,K35/B35)</f>
        <v>0</v>
      </c>
      <c r="N35" s="7" t="n">
        <f aca="false">K35/가정!$B$8</f>
        <v>0</v>
      </c>
      <c r="O35" s="7" t="str">
        <f aca="false">IF(I35&gt;0,A35,"")</f>
        <v/>
      </c>
      <c r="P35" s="7" t="str">
        <f aca="false">IF(L35&gt;=0,A35,"")</f>
        <v/>
      </c>
      <c r="Q35" s="7" t="str">
        <f aca="false">IF(K35&gt;=가정!$B$28,A35,"")</f>
        <v/>
      </c>
      <c r="R35" s="7" t="str">
        <f aca="false">IF(MAX(0,I35)*(1-가정!$B$6)*'1억 상환'!$B$6&gt;='1억 상환'!$B$5,A35,"")</f>
        <v/>
      </c>
    </row>
    <row r="36" customFormat="false" ht="15" hidden="false" customHeight="false" outlineLevel="0" collapsed="false">
      <c r="A36" s="7" t="n">
        <v>32</v>
      </c>
      <c r="B36" s="7" t="n">
        <f aca="false">A36*가정!$B$10</f>
        <v>9600000</v>
      </c>
      <c r="C36" s="7" t="n">
        <f aca="false">가정!$B$30</f>
        <v>8600000</v>
      </c>
      <c r="D36" s="7" t="n">
        <f aca="false">ROUNDUP(MAX(0,A36-가정!$B$18)/가정!$B$19,0)</f>
        <v>1</v>
      </c>
      <c r="E36" s="7" t="n">
        <f aca="false">D36*가정!$B$20</f>
        <v>2800000</v>
      </c>
      <c r="F36" s="7" t="n">
        <f aca="false">A36*가정!$B$22+B36*가정!$B$23</f>
        <v>768000</v>
      </c>
      <c r="G36" s="7" t="n">
        <f aca="false">B36*가정!$B$24</f>
        <v>0</v>
      </c>
      <c r="H36" s="7" t="n">
        <f aca="false">B36-C36-E36-F36-G36</f>
        <v>-2568000</v>
      </c>
      <c r="I36" s="7" t="n">
        <f aca="false">H36-IF(가정!$B$7=1,가정!$B$5,0)</f>
        <v>-2568000</v>
      </c>
      <c r="J36" s="7" t="n">
        <f aca="false">MAX(0,I36)*가정!$B$6</f>
        <v>0</v>
      </c>
      <c r="K36" s="7" t="n">
        <f aca="false">가정!$B$5+J36</f>
        <v>0</v>
      </c>
      <c r="L36" s="7" t="n">
        <f aca="false">H36-K36</f>
        <v>-2568000</v>
      </c>
      <c r="M36" s="8" t="n">
        <f aca="false">IF(B36=0,0,K36/B36)</f>
        <v>0</v>
      </c>
      <c r="N36" s="7" t="n">
        <f aca="false">K36/가정!$B$8</f>
        <v>0</v>
      </c>
      <c r="O36" s="7" t="str">
        <f aca="false">IF(I36&gt;0,A36,"")</f>
        <v/>
      </c>
      <c r="P36" s="7" t="str">
        <f aca="false">IF(L36&gt;=0,A36,"")</f>
        <v/>
      </c>
      <c r="Q36" s="7" t="str">
        <f aca="false">IF(K36&gt;=가정!$B$28,A36,"")</f>
        <v/>
      </c>
      <c r="R36" s="7" t="str">
        <f aca="false">IF(MAX(0,I36)*(1-가정!$B$6)*'1억 상환'!$B$6&gt;='1억 상환'!$B$5,A36,"")</f>
        <v/>
      </c>
    </row>
    <row r="37" customFormat="false" ht="15" hidden="false" customHeight="false" outlineLevel="0" collapsed="false">
      <c r="A37" s="7" t="n">
        <v>33</v>
      </c>
      <c r="B37" s="7" t="n">
        <f aca="false">A37*가정!$B$10</f>
        <v>9900000</v>
      </c>
      <c r="C37" s="7" t="n">
        <f aca="false">가정!$B$30</f>
        <v>8600000</v>
      </c>
      <c r="D37" s="7" t="n">
        <f aca="false">ROUNDUP(MAX(0,A37-가정!$B$18)/가정!$B$19,0)</f>
        <v>1</v>
      </c>
      <c r="E37" s="7" t="n">
        <f aca="false">D37*가정!$B$20</f>
        <v>2800000</v>
      </c>
      <c r="F37" s="7" t="n">
        <f aca="false">A37*가정!$B$22+B37*가정!$B$23</f>
        <v>792000</v>
      </c>
      <c r="G37" s="7" t="n">
        <f aca="false">B37*가정!$B$24</f>
        <v>0</v>
      </c>
      <c r="H37" s="7" t="n">
        <f aca="false">B37-C37-E37-F37-G37</f>
        <v>-2292000</v>
      </c>
      <c r="I37" s="7" t="n">
        <f aca="false">H37-IF(가정!$B$7=1,가정!$B$5,0)</f>
        <v>-2292000</v>
      </c>
      <c r="J37" s="7" t="n">
        <f aca="false">MAX(0,I37)*가정!$B$6</f>
        <v>0</v>
      </c>
      <c r="K37" s="7" t="n">
        <f aca="false">가정!$B$5+J37</f>
        <v>0</v>
      </c>
      <c r="L37" s="7" t="n">
        <f aca="false">H37-K37</f>
        <v>-2292000</v>
      </c>
      <c r="M37" s="8" t="n">
        <f aca="false">IF(B37=0,0,K37/B37)</f>
        <v>0</v>
      </c>
      <c r="N37" s="7" t="n">
        <f aca="false">K37/가정!$B$8</f>
        <v>0</v>
      </c>
      <c r="O37" s="7" t="str">
        <f aca="false">IF(I37&gt;0,A37,"")</f>
        <v/>
      </c>
      <c r="P37" s="7" t="str">
        <f aca="false">IF(L37&gt;=0,A37,"")</f>
        <v/>
      </c>
      <c r="Q37" s="7" t="str">
        <f aca="false">IF(K37&gt;=가정!$B$28,A37,"")</f>
        <v/>
      </c>
      <c r="R37" s="7" t="str">
        <f aca="false">IF(MAX(0,I37)*(1-가정!$B$6)*'1억 상환'!$B$6&gt;='1억 상환'!$B$5,A37,"")</f>
        <v/>
      </c>
    </row>
    <row r="38" customFormat="false" ht="15" hidden="false" customHeight="false" outlineLevel="0" collapsed="false">
      <c r="A38" s="7" t="n">
        <v>34</v>
      </c>
      <c r="B38" s="7" t="n">
        <f aca="false">A38*가정!$B$10</f>
        <v>10200000</v>
      </c>
      <c r="C38" s="7" t="n">
        <f aca="false">가정!$B$30</f>
        <v>8600000</v>
      </c>
      <c r="D38" s="7" t="n">
        <f aca="false">ROUNDUP(MAX(0,A38-가정!$B$18)/가정!$B$19,0)</f>
        <v>1</v>
      </c>
      <c r="E38" s="7" t="n">
        <f aca="false">D38*가정!$B$20</f>
        <v>2800000</v>
      </c>
      <c r="F38" s="7" t="n">
        <f aca="false">A38*가정!$B$22+B38*가정!$B$23</f>
        <v>816000</v>
      </c>
      <c r="G38" s="7" t="n">
        <f aca="false">B38*가정!$B$24</f>
        <v>0</v>
      </c>
      <c r="H38" s="7" t="n">
        <f aca="false">B38-C38-E38-F38-G38</f>
        <v>-2016000</v>
      </c>
      <c r="I38" s="7" t="n">
        <f aca="false">H38-IF(가정!$B$7=1,가정!$B$5,0)</f>
        <v>-2016000</v>
      </c>
      <c r="J38" s="7" t="n">
        <f aca="false">MAX(0,I38)*가정!$B$6</f>
        <v>0</v>
      </c>
      <c r="K38" s="7" t="n">
        <f aca="false">가정!$B$5+J38</f>
        <v>0</v>
      </c>
      <c r="L38" s="7" t="n">
        <f aca="false">H38-K38</f>
        <v>-2016000</v>
      </c>
      <c r="M38" s="8" t="n">
        <f aca="false">IF(B38=0,0,K38/B38)</f>
        <v>0</v>
      </c>
      <c r="N38" s="7" t="n">
        <f aca="false">K38/가정!$B$8</f>
        <v>0</v>
      </c>
      <c r="O38" s="7" t="str">
        <f aca="false">IF(I38&gt;0,A38,"")</f>
        <v/>
      </c>
      <c r="P38" s="7" t="str">
        <f aca="false">IF(L38&gt;=0,A38,"")</f>
        <v/>
      </c>
      <c r="Q38" s="7" t="str">
        <f aca="false">IF(K38&gt;=가정!$B$28,A38,"")</f>
        <v/>
      </c>
      <c r="R38" s="7" t="str">
        <f aca="false">IF(MAX(0,I38)*(1-가정!$B$6)*'1억 상환'!$B$6&gt;='1억 상환'!$B$5,A38,"")</f>
        <v/>
      </c>
    </row>
    <row r="39" customFormat="false" ht="15" hidden="false" customHeight="false" outlineLevel="0" collapsed="false">
      <c r="A39" s="7" t="n">
        <v>35</v>
      </c>
      <c r="B39" s="7" t="n">
        <f aca="false">A39*가정!$B$10</f>
        <v>10500000</v>
      </c>
      <c r="C39" s="7" t="n">
        <f aca="false">가정!$B$30</f>
        <v>8600000</v>
      </c>
      <c r="D39" s="7" t="n">
        <f aca="false">ROUNDUP(MAX(0,A39-가정!$B$18)/가정!$B$19,0)</f>
        <v>1</v>
      </c>
      <c r="E39" s="7" t="n">
        <f aca="false">D39*가정!$B$20</f>
        <v>2800000</v>
      </c>
      <c r="F39" s="7" t="n">
        <f aca="false">A39*가정!$B$22+B39*가정!$B$23</f>
        <v>840000</v>
      </c>
      <c r="G39" s="7" t="n">
        <f aca="false">B39*가정!$B$24</f>
        <v>0</v>
      </c>
      <c r="H39" s="7" t="n">
        <f aca="false">B39-C39-E39-F39-G39</f>
        <v>-1740000</v>
      </c>
      <c r="I39" s="7" t="n">
        <f aca="false">H39-IF(가정!$B$7=1,가정!$B$5,0)</f>
        <v>-1740000</v>
      </c>
      <c r="J39" s="7" t="n">
        <f aca="false">MAX(0,I39)*가정!$B$6</f>
        <v>0</v>
      </c>
      <c r="K39" s="7" t="n">
        <f aca="false">가정!$B$5+J39</f>
        <v>0</v>
      </c>
      <c r="L39" s="7" t="n">
        <f aca="false">H39-K39</f>
        <v>-1740000</v>
      </c>
      <c r="M39" s="8" t="n">
        <f aca="false">IF(B39=0,0,K39/B39)</f>
        <v>0</v>
      </c>
      <c r="N39" s="7" t="n">
        <f aca="false">K39/가정!$B$8</f>
        <v>0</v>
      </c>
      <c r="O39" s="7" t="str">
        <f aca="false">IF(I39&gt;0,A39,"")</f>
        <v/>
      </c>
      <c r="P39" s="7" t="str">
        <f aca="false">IF(L39&gt;=0,A39,"")</f>
        <v/>
      </c>
      <c r="Q39" s="7" t="str">
        <f aca="false">IF(K39&gt;=가정!$B$28,A39,"")</f>
        <v/>
      </c>
      <c r="R39" s="7" t="str">
        <f aca="false">IF(MAX(0,I39)*(1-가정!$B$6)*'1억 상환'!$B$6&gt;='1억 상환'!$B$5,A39,"")</f>
        <v/>
      </c>
    </row>
    <row r="40" customFormat="false" ht="15" hidden="false" customHeight="false" outlineLevel="0" collapsed="false">
      <c r="A40" s="7" t="n">
        <v>36</v>
      </c>
      <c r="B40" s="7" t="n">
        <f aca="false">A40*가정!$B$10</f>
        <v>10800000</v>
      </c>
      <c r="C40" s="7" t="n">
        <f aca="false">가정!$B$30</f>
        <v>8600000</v>
      </c>
      <c r="D40" s="7" t="n">
        <f aca="false">ROUNDUP(MAX(0,A40-가정!$B$18)/가정!$B$19,0)</f>
        <v>1</v>
      </c>
      <c r="E40" s="7" t="n">
        <f aca="false">D40*가정!$B$20</f>
        <v>2800000</v>
      </c>
      <c r="F40" s="7" t="n">
        <f aca="false">A40*가정!$B$22+B40*가정!$B$23</f>
        <v>864000</v>
      </c>
      <c r="G40" s="7" t="n">
        <f aca="false">B40*가정!$B$24</f>
        <v>0</v>
      </c>
      <c r="H40" s="7" t="n">
        <f aca="false">B40-C40-E40-F40-G40</f>
        <v>-1464000</v>
      </c>
      <c r="I40" s="7" t="n">
        <f aca="false">H40-IF(가정!$B$7=1,가정!$B$5,0)</f>
        <v>-1464000</v>
      </c>
      <c r="J40" s="7" t="n">
        <f aca="false">MAX(0,I40)*가정!$B$6</f>
        <v>0</v>
      </c>
      <c r="K40" s="7" t="n">
        <f aca="false">가정!$B$5+J40</f>
        <v>0</v>
      </c>
      <c r="L40" s="7" t="n">
        <f aca="false">H40-K40</f>
        <v>-1464000</v>
      </c>
      <c r="M40" s="8" t="n">
        <f aca="false">IF(B40=0,0,K40/B40)</f>
        <v>0</v>
      </c>
      <c r="N40" s="7" t="n">
        <f aca="false">K40/가정!$B$8</f>
        <v>0</v>
      </c>
      <c r="O40" s="7" t="str">
        <f aca="false">IF(I40&gt;0,A40,"")</f>
        <v/>
      </c>
      <c r="P40" s="7" t="str">
        <f aca="false">IF(L40&gt;=0,A40,"")</f>
        <v/>
      </c>
      <c r="Q40" s="7" t="str">
        <f aca="false">IF(K40&gt;=가정!$B$28,A40,"")</f>
        <v/>
      </c>
      <c r="R40" s="7" t="str">
        <f aca="false">IF(MAX(0,I40)*(1-가정!$B$6)*'1억 상환'!$B$6&gt;='1억 상환'!$B$5,A40,"")</f>
        <v/>
      </c>
    </row>
    <row r="41" customFormat="false" ht="15" hidden="false" customHeight="false" outlineLevel="0" collapsed="false">
      <c r="A41" s="7" t="n">
        <v>37</v>
      </c>
      <c r="B41" s="7" t="n">
        <f aca="false">A41*가정!$B$10</f>
        <v>11100000</v>
      </c>
      <c r="C41" s="7" t="n">
        <f aca="false">가정!$B$30</f>
        <v>8600000</v>
      </c>
      <c r="D41" s="7" t="n">
        <f aca="false">ROUNDUP(MAX(0,A41-가정!$B$18)/가정!$B$19,0)</f>
        <v>1</v>
      </c>
      <c r="E41" s="7" t="n">
        <f aca="false">D41*가정!$B$20</f>
        <v>2800000</v>
      </c>
      <c r="F41" s="7" t="n">
        <f aca="false">A41*가정!$B$22+B41*가정!$B$23</f>
        <v>888000</v>
      </c>
      <c r="G41" s="7" t="n">
        <f aca="false">B41*가정!$B$24</f>
        <v>0</v>
      </c>
      <c r="H41" s="7" t="n">
        <f aca="false">B41-C41-E41-F41-G41</f>
        <v>-1188000</v>
      </c>
      <c r="I41" s="7" t="n">
        <f aca="false">H41-IF(가정!$B$7=1,가정!$B$5,0)</f>
        <v>-1188000</v>
      </c>
      <c r="J41" s="7" t="n">
        <f aca="false">MAX(0,I41)*가정!$B$6</f>
        <v>0</v>
      </c>
      <c r="K41" s="7" t="n">
        <f aca="false">가정!$B$5+J41</f>
        <v>0</v>
      </c>
      <c r="L41" s="7" t="n">
        <f aca="false">H41-K41</f>
        <v>-1188000</v>
      </c>
      <c r="M41" s="8" t="n">
        <f aca="false">IF(B41=0,0,K41/B41)</f>
        <v>0</v>
      </c>
      <c r="N41" s="7" t="n">
        <f aca="false">K41/가정!$B$8</f>
        <v>0</v>
      </c>
      <c r="O41" s="7" t="str">
        <f aca="false">IF(I41&gt;0,A41,"")</f>
        <v/>
      </c>
      <c r="P41" s="7" t="str">
        <f aca="false">IF(L41&gt;=0,A41,"")</f>
        <v/>
      </c>
      <c r="Q41" s="7" t="str">
        <f aca="false">IF(K41&gt;=가정!$B$28,A41,"")</f>
        <v/>
      </c>
      <c r="R41" s="7" t="str">
        <f aca="false">IF(MAX(0,I41)*(1-가정!$B$6)*'1억 상환'!$B$6&gt;='1억 상환'!$B$5,A41,"")</f>
        <v/>
      </c>
    </row>
    <row r="42" customFormat="false" ht="15" hidden="false" customHeight="false" outlineLevel="0" collapsed="false">
      <c r="A42" s="7" t="n">
        <v>38</v>
      </c>
      <c r="B42" s="7" t="n">
        <f aca="false">A42*가정!$B$10</f>
        <v>11400000</v>
      </c>
      <c r="C42" s="7" t="n">
        <f aca="false">가정!$B$30</f>
        <v>8600000</v>
      </c>
      <c r="D42" s="7" t="n">
        <f aca="false">ROUNDUP(MAX(0,A42-가정!$B$18)/가정!$B$19,0)</f>
        <v>1</v>
      </c>
      <c r="E42" s="7" t="n">
        <f aca="false">D42*가정!$B$20</f>
        <v>2800000</v>
      </c>
      <c r="F42" s="7" t="n">
        <f aca="false">A42*가정!$B$22+B42*가정!$B$23</f>
        <v>912000</v>
      </c>
      <c r="G42" s="7" t="n">
        <f aca="false">B42*가정!$B$24</f>
        <v>0</v>
      </c>
      <c r="H42" s="7" t="n">
        <f aca="false">B42-C42-E42-F42-G42</f>
        <v>-912000</v>
      </c>
      <c r="I42" s="7" t="n">
        <f aca="false">H42-IF(가정!$B$7=1,가정!$B$5,0)</f>
        <v>-912000</v>
      </c>
      <c r="J42" s="7" t="n">
        <f aca="false">MAX(0,I42)*가정!$B$6</f>
        <v>0</v>
      </c>
      <c r="K42" s="7" t="n">
        <f aca="false">가정!$B$5+J42</f>
        <v>0</v>
      </c>
      <c r="L42" s="7" t="n">
        <f aca="false">H42-K42</f>
        <v>-912000</v>
      </c>
      <c r="M42" s="8" t="n">
        <f aca="false">IF(B42=0,0,K42/B42)</f>
        <v>0</v>
      </c>
      <c r="N42" s="7" t="n">
        <f aca="false">K42/가정!$B$8</f>
        <v>0</v>
      </c>
      <c r="O42" s="7" t="str">
        <f aca="false">IF(I42&gt;0,A42,"")</f>
        <v/>
      </c>
      <c r="P42" s="7" t="str">
        <f aca="false">IF(L42&gt;=0,A42,"")</f>
        <v/>
      </c>
      <c r="Q42" s="7" t="str">
        <f aca="false">IF(K42&gt;=가정!$B$28,A42,"")</f>
        <v/>
      </c>
      <c r="R42" s="7" t="str">
        <f aca="false">IF(MAX(0,I42)*(1-가정!$B$6)*'1억 상환'!$B$6&gt;='1억 상환'!$B$5,A42,"")</f>
        <v/>
      </c>
    </row>
    <row r="43" customFormat="false" ht="15" hidden="false" customHeight="false" outlineLevel="0" collapsed="false">
      <c r="A43" s="7" t="n">
        <v>39</v>
      </c>
      <c r="B43" s="7" t="n">
        <f aca="false">A43*가정!$B$10</f>
        <v>11700000</v>
      </c>
      <c r="C43" s="7" t="n">
        <f aca="false">가정!$B$30</f>
        <v>8600000</v>
      </c>
      <c r="D43" s="7" t="n">
        <f aca="false">ROUNDUP(MAX(0,A43-가정!$B$18)/가정!$B$19,0)</f>
        <v>1</v>
      </c>
      <c r="E43" s="7" t="n">
        <f aca="false">D43*가정!$B$20</f>
        <v>2800000</v>
      </c>
      <c r="F43" s="7" t="n">
        <f aca="false">A43*가정!$B$22+B43*가정!$B$23</f>
        <v>936000</v>
      </c>
      <c r="G43" s="7" t="n">
        <f aca="false">B43*가정!$B$24</f>
        <v>0</v>
      </c>
      <c r="H43" s="7" t="n">
        <f aca="false">B43-C43-E43-F43-G43</f>
        <v>-636000</v>
      </c>
      <c r="I43" s="7" t="n">
        <f aca="false">H43-IF(가정!$B$7=1,가정!$B$5,0)</f>
        <v>-636000</v>
      </c>
      <c r="J43" s="7" t="n">
        <f aca="false">MAX(0,I43)*가정!$B$6</f>
        <v>0</v>
      </c>
      <c r="K43" s="7" t="n">
        <f aca="false">가정!$B$5+J43</f>
        <v>0</v>
      </c>
      <c r="L43" s="7" t="n">
        <f aca="false">H43-K43</f>
        <v>-636000</v>
      </c>
      <c r="M43" s="8" t="n">
        <f aca="false">IF(B43=0,0,K43/B43)</f>
        <v>0</v>
      </c>
      <c r="N43" s="7" t="n">
        <f aca="false">K43/가정!$B$8</f>
        <v>0</v>
      </c>
      <c r="O43" s="7" t="str">
        <f aca="false">IF(I43&gt;0,A43,"")</f>
        <v/>
      </c>
      <c r="P43" s="7" t="str">
        <f aca="false">IF(L43&gt;=0,A43,"")</f>
        <v/>
      </c>
      <c r="Q43" s="7" t="str">
        <f aca="false">IF(K43&gt;=가정!$B$28,A43,"")</f>
        <v/>
      </c>
      <c r="R43" s="7" t="str">
        <f aca="false">IF(MAX(0,I43)*(1-가정!$B$6)*'1억 상환'!$B$6&gt;='1억 상환'!$B$5,A43,"")</f>
        <v/>
      </c>
    </row>
    <row r="44" customFormat="false" ht="15" hidden="false" customHeight="false" outlineLevel="0" collapsed="false">
      <c r="A44" s="7" t="n">
        <v>40</v>
      </c>
      <c r="B44" s="7" t="n">
        <f aca="false">A44*가정!$B$10</f>
        <v>12000000</v>
      </c>
      <c r="C44" s="7" t="n">
        <f aca="false">가정!$B$30</f>
        <v>8600000</v>
      </c>
      <c r="D44" s="7" t="n">
        <f aca="false">ROUNDUP(MAX(0,A44-가정!$B$18)/가정!$B$19,0)</f>
        <v>1</v>
      </c>
      <c r="E44" s="7" t="n">
        <f aca="false">D44*가정!$B$20</f>
        <v>2800000</v>
      </c>
      <c r="F44" s="7" t="n">
        <f aca="false">A44*가정!$B$22+B44*가정!$B$23</f>
        <v>960000</v>
      </c>
      <c r="G44" s="7" t="n">
        <f aca="false">B44*가정!$B$24</f>
        <v>0</v>
      </c>
      <c r="H44" s="7" t="n">
        <f aca="false">B44-C44-E44-F44-G44</f>
        <v>-360000</v>
      </c>
      <c r="I44" s="7" t="n">
        <f aca="false">H44-IF(가정!$B$7=1,가정!$B$5,0)</f>
        <v>-360000</v>
      </c>
      <c r="J44" s="7" t="n">
        <f aca="false">MAX(0,I44)*가정!$B$6</f>
        <v>0</v>
      </c>
      <c r="K44" s="7" t="n">
        <f aca="false">가정!$B$5+J44</f>
        <v>0</v>
      </c>
      <c r="L44" s="7" t="n">
        <f aca="false">H44-K44</f>
        <v>-360000</v>
      </c>
      <c r="M44" s="8" t="n">
        <f aca="false">IF(B44=0,0,K44/B44)</f>
        <v>0</v>
      </c>
      <c r="N44" s="7" t="n">
        <f aca="false">K44/가정!$B$8</f>
        <v>0</v>
      </c>
      <c r="O44" s="7" t="str">
        <f aca="false">IF(I44&gt;0,A44,"")</f>
        <v/>
      </c>
      <c r="P44" s="7" t="str">
        <f aca="false">IF(L44&gt;=0,A44,"")</f>
        <v/>
      </c>
      <c r="Q44" s="7" t="str">
        <f aca="false">IF(K44&gt;=가정!$B$28,A44,"")</f>
        <v/>
      </c>
      <c r="R44" s="7" t="str">
        <f aca="false">IF(MAX(0,I44)*(1-가정!$B$6)*'1억 상환'!$B$6&gt;='1억 상환'!$B$5,A44,"")</f>
        <v/>
      </c>
    </row>
    <row r="45" customFormat="false" ht="15" hidden="false" customHeight="false" outlineLevel="0" collapsed="false">
      <c r="A45" s="7" t="n">
        <v>41</v>
      </c>
      <c r="B45" s="7" t="n">
        <f aca="false">A45*가정!$B$10</f>
        <v>12300000</v>
      </c>
      <c r="C45" s="7" t="n">
        <f aca="false">가정!$B$30</f>
        <v>8600000</v>
      </c>
      <c r="D45" s="7" t="n">
        <f aca="false">ROUNDUP(MAX(0,A45-가정!$B$18)/가정!$B$19,0)</f>
        <v>1</v>
      </c>
      <c r="E45" s="7" t="n">
        <f aca="false">D45*가정!$B$20</f>
        <v>2800000</v>
      </c>
      <c r="F45" s="7" t="n">
        <f aca="false">A45*가정!$B$22+B45*가정!$B$23</f>
        <v>984000</v>
      </c>
      <c r="G45" s="7" t="n">
        <f aca="false">B45*가정!$B$24</f>
        <v>0</v>
      </c>
      <c r="H45" s="7" t="n">
        <f aca="false">B45-C45-E45-F45-G45</f>
        <v>-84000</v>
      </c>
      <c r="I45" s="7" t="n">
        <f aca="false">H45-IF(가정!$B$7=1,가정!$B$5,0)</f>
        <v>-84000</v>
      </c>
      <c r="J45" s="7" t="n">
        <f aca="false">MAX(0,I45)*가정!$B$6</f>
        <v>0</v>
      </c>
      <c r="K45" s="7" t="n">
        <f aca="false">가정!$B$5+J45</f>
        <v>0</v>
      </c>
      <c r="L45" s="7" t="n">
        <f aca="false">H45-K45</f>
        <v>-84000</v>
      </c>
      <c r="M45" s="8" t="n">
        <f aca="false">IF(B45=0,0,K45/B45)</f>
        <v>0</v>
      </c>
      <c r="N45" s="7" t="n">
        <f aca="false">K45/가정!$B$8</f>
        <v>0</v>
      </c>
      <c r="O45" s="7" t="str">
        <f aca="false">IF(I45&gt;0,A45,"")</f>
        <v/>
      </c>
      <c r="P45" s="7" t="str">
        <f aca="false">IF(L45&gt;=0,A45,"")</f>
        <v/>
      </c>
      <c r="Q45" s="7" t="str">
        <f aca="false">IF(K45&gt;=가정!$B$28,A45,"")</f>
        <v/>
      </c>
      <c r="R45" s="7" t="str">
        <f aca="false">IF(MAX(0,I45)*(1-가정!$B$6)*'1억 상환'!$B$6&gt;='1억 상환'!$B$5,A45,"")</f>
        <v/>
      </c>
    </row>
    <row r="46" customFormat="false" ht="15" hidden="false" customHeight="false" outlineLevel="0" collapsed="false">
      <c r="A46" s="7" t="n">
        <v>42</v>
      </c>
      <c r="B46" s="7" t="n">
        <f aca="false">A46*가정!$B$10</f>
        <v>12600000</v>
      </c>
      <c r="C46" s="7" t="n">
        <f aca="false">가정!$B$30</f>
        <v>8600000</v>
      </c>
      <c r="D46" s="7" t="n">
        <f aca="false">ROUNDUP(MAX(0,A46-가정!$B$18)/가정!$B$19,0)</f>
        <v>1</v>
      </c>
      <c r="E46" s="7" t="n">
        <f aca="false">D46*가정!$B$20</f>
        <v>2800000</v>
      </c>
      <c r="F46" s="7" t="n">
        <f aca="false">A46*가정!$B$22+B46*가정!$B$23</f>
        <v>1008000</v>
      </c>
      <c r="G46" s="7" t="n">
        <f aca="false">B46*가정!$B$24</f>
        <v>0</v>
      </c>
      <c r="H46" s="7" t="n">
        <f aca="false">B46-C46-E46-F46-G46</f>
        <v>192000</v>
      </c>
      <c r="I46" s="7" t="n">
        <f aca="false">H46-IF(가정!$B$7=1,가정!$B$5,0)</f>
        <v>192000</v>
      </c>
      <c r="J46" s="7" t="n">
        <f aca="false">MAX(0,I46)*가정!$B$6</f>
        <v>172800</v>
      </c>
      <c r="K46" s="7" t="n">
        <f aca="false">가정!$B$5+J46</f>
        <v>172800</v>
      </c>
      <c r="L46" s="7" t="n">
        <f aca="false">H46-K46</f>
        <v>19200</v>
      </c>
      <c r="M46" s="8" t="n">
        <f aca="false">IF(B46=0,0,K46/B46)</f>
        <v>0.0137142857142857</v>
      </c>
      <c r="N46" s="7" t="n">
        <f aca="false">K46/가정!$B$8</f>
        <v>864</v>
      </c>
      <c r="O46" s="7" t="n">
        <f aca="false">IF(I46&gt;0,A46,"")</f>
        <v>42</v>
      </c>
      <c r="P46" s="7" t="n">
        <f aca="false">IF(L46&gt;=0,A46,"")</f>
        <v>42</v>
      </c>
      <c r="Q46" s="7" t="str">
        <f aca="false">IF(K46&gt;=가정!$B$28,A46,"")</f>
        <v/>
      </c>
      <c r="R46" s="7" t="str">
        <f aca="false">IF(MAX(0,I46)*(1-가정!$B$6)*'1억 상환'!$B$6&gt;='1억 상환'!$B$5,A46,"")</f>
        <v/>
      </c>
    </row>
    <row r="47" customFormat="false" ht="15" hidden="false" customHeight="false" outlineLevel="0" collapsed="false">
      <c r="A47" s="7" t="n">
        <v>43</v>
      </c>
      <c r="B47" s="7" t="n">
        <f aca="false">A47*가정!$B$10</f>
        <v>12900000</v>
      </c>
      <c r="C47" s="7" t="n">
        <f aca="false">가정!$B$30</f>
        <v>8600000</v>
      </c>
      <c r="D47" s="7" t="n">
        <f aca="false">ROUNDUP(MAX(0,A47-가정!$B$18)/가정!$B$19,0)</f>
        <v>1</v>
      </c>
      <c r="E47" s="7" t="n">
        <f aca="false">D47*가정!$B$20</f>
        <v>2800000</v>
      </c>
      <c r="F47" s="7" t="n">
        <f aca="false">A47*가정!$B$22+B47*가정!$B$23</f>
        <v>1032000</v>
      </c>
      <c r="G47" s="7" t="n">
        <f aca="false">B47*가정!$B$24</f>
        <v>0</v>
      </c>
      <c r="H47" s="7" t="n">
        <f aca="false">B47-C47-E47-F47-G47</f>
        <v>468000</v>
      </c>
      <c r="I47" s="7" t="n">
        <f aca="false">H47-IF(가정!$B$7=1,가정!$B$5,0)</f>
        <v>468000</v>
      </c>
      <c r="J47" s="7" t="n">
        <f aca="false">MAX(0,I47)*가정!$B$6</f>
        <v>421200</v>
      </c>
      <c r="K47" s="7" t="n">
        <f aca="false">가정!$B$5+J47</f>
        <v>421200</v>
      </c>
      <c r="L47" s="7" t="n">
        <f aca="false">H47-K47</f>
        <v>46800</v>
      </c>
      <c r="M47" s="8" t="n">
        <f aca="false">IF(B47=0,0,K47/B47)</f>
        <v>0.0326511627906977</v>
      </c>
      <c r="N47" s="7" t="n">
        <f aca="false">K47/가정!$B$8</f>
        <v>2106</v>
      </c>
      <c r="O47" s="7" t="n">
        <f aca="false">IF(I47&gt;0,A47,"")</f>
        <v>43</v>
      </c>
      <c r="P47" s="7" t="n">
        <f aca="false">IF(L47&gt;=0,A47,"")</f>
        <v>43</v>
      </c>
      <c r="Q47" s="7" t="str">
        <f aca="false">IF(K47&gt;=가정!$B$28,A47,"")</f>
        <v/>
      </c>
      <c r="R47" s="7" t="str">
        <f aca="false">IF(MAX(0,I47)*(1-가정!$B$6)*'1억 상환'!$B$6&gt;='1억 상환'!$B$5,A47,"")</f>
        <v/>
      </c>
    </row>
    <row r="48" customFormat="false" ht="15" hidden="false" customHeight="false" outlineLevel="0" collapsed="false">
      <c r="A48" s="7" t="n">
        <v>44</v>
      </c>
      <c r="B48" s="7" t="n">
        <f aca="false">A48*가정!$B$10</f>
        <v>13200000</v>
      </c>
      <c r="C48" s="7" t="n">
        <f aca="false">가정!$B$30</f>
        <v>8600000</v>
      </c>
      <c r="D48" s="7" t="n">
        <f aca="false">ROUNDUP(MAX(0,A48-가정!$B$18)/가정!$B$19,0)</f>
        <v>1</v>
      </c>
      <c r="E48" s="7" t="n">
        <f aca="false">D48*가정!$B$20</f>
        <v>2800000</v>
      </c>
      <c r="F48" s="7" t="n">
        <f aca="false">A48*가정!$B$22+B48*가정!$B$23</f>
        <v>1056000</v>
      </c>
      <c r="G48" s="7" t="n">
        <f aca="false">B48*가정!$B$24</f>
        <v>0</v>
      </c>
      <c r="H48" s="7" t="n">
        <f aca="false">B48-C48-E48-F48-G48</f>
        <v>744000</v>
      </c>
      <c r="I48" s="7" t="n">
        <f aca="false">H48-IF(가정!$B$7=1,가정!$B$5,0)</f>
        <v>744000</v>
      </c>
      <c r="J48" s="7" t="n">
        <f aca="false">MAX(0,I48)*가정!$B$6</f>
        <v>669600</v>
      </c>
      <c r="K48" s="7" t="n">
        <f aca="false">가정!$B$5+J48</f>
        <v>669600</v>
      </c>
      <c r="L48" s="7" t="n">
        <f aca="false">H48-K48</f>
        <v>74400</v>
      </c>
      <c r="M48" s="8" t="n">
        <f aca="false">IF(B48=0,0,K48/B48)</f>
        <v>0.0507272727272727</v>
      </c>
      <c r="N48" s="7" t="n">
        <f aca="false">K48/가정!$B$8</f>
        <v>3348</v>
      </c>
      <c r="O48" s="7" t="n">
        <f aca="false">IF(I48&gt;0,A48,"")</f>
        <v>44</v>
      </c>
      <c r="P48" s="7" t="n">
        <f aca="false">IF(L48&gt;=0,A48,"")</f>
        <v>44</v>
      </c>
      <c r="Q48" s="7" t="str">
        <f aca="false">IF(K48&gt;=가정!$B$28,A48,"")</f>
        <v/>
      </c>
      <c r="R48" s="7" t="str">
        <f aca="false">IF(MAX(0,I48)*(1-가정!$B$6)*'1억 상환'!$B$6&gt;='1억 상환'!$B$5,A48,"")</f>
        <v/>
      </c>
    </row>
    <row r="49" customFormat="false" ht="15" hidden="false" customHeight="false" outlineLevel="0" collapsed="false">
      <c r="A49" s="7" t="n">
        <v>45</v>
      </c>
      <c r="B49" s="7" t="n">
        <f aca="false">A49*가정!$B$10</f>
        <v>13500000</v>
      </c>
      <c r="C49" s="7" t="n">
        <f aca="false">가정!$B$30</f>
        <v>8600000</v>
      </c>
      <c r="D49" s="7" t="n">
        <f aca="false">ROUNDUP(MAX(0,A49-가정!$B$18)/가정!$B$19,0)</f>
        <v>1</v>
      </c>
      <c r="E49" s="7" t="n">
        <f aca="false">D49*가정!$B$20</f>
        <v>2800000</v>
      </c>
      <c r="F49" s="7" t="n">
        <f aca="false">A49*가정!$B$22+B49*가정!$B$23</f>
        <v>1080000</v>
      </c>
      <c r="G49" s="7" t="n">
        <f aca="false">B49*가정!$B$24</f>
        <v>0</v>
      </c>
      <c r="H49" s="7" t="n">
        <f aca="false">B49-C49-E49-F49-G49</f>
        <v>1020000</v>
      </c>
      <c r="I49" s="7" t="n">
        <f aca="false">H49-IF(가정!$B$7=1,가정!$B$5,0)</f>
        <v>1020000</v>
      </c>
      <c r="J49" s="7" t="n">
        <f aca="false">MAX(0,I49)*가정!$B$6</f>
        <v>918000</v>
      </c>
      <c r="K49" s="7" t="n">
        <f aca="false">가정!$B$5+J49</f>
        <v>918000</v>
      </c>
      <c r="L49" s="7" t="n">
        <f aca="false">H49-K49</f>
        <v>102000</v>
      </c>
      <c r="M49" s="8" t="n">
        <f aca="false">IF(B49=0,0,K49/B49)</f>
        <v>0.068</v>
      </c>
      <c r="N49" s="7" t="n">
        <f aca="false">K49/가정!$B$8</f>
        <v>4590</v>
      </c>
      <c r="O49" s="7" t="n">
        <f aca="false">IF(I49&gt;0,A49,"")</f>
        <v>45</v>
      </c>
      <c r="P49" s="7" t="n">
        <f aca="false">IF(L49&gt;=0,A49,"")</f>
        <v>45</v>
      </c>
      <c r="Q49" s="7" t="str">
        <f aca="false">IF(K49&gt;=가정!$B$28,A49,"")</f>
        <v/>
      </c>
      <c r="R49" s="7" t="str">
        <f aca="false">IF(MAX(0,I49)*(1-가정!$B$6)*'1억 상환'!$B$6&gt;='1억 상환'!$B$5,A49,"")</f>
        <v/>
      </c>
    </row>
    <row r="50" customFormat="false" ht="15" hidden="false" customHeight="false" outlineLevel="0" collapsed="false">
      <c r="A50" s="7" t="n">
        <v>46</v>
      </c>
      <c r="B50" s="7" t="n">
        <f aca="false">A50*가정!$B$10</f>
        <v>13800000</v>
      </c>
      <c r="C50" s="7" t="n">
        <f aca="false">가정!$B$30</f>
        <v>8600000</v>
      </c>
      <c r="D50" s="7" t="n">
        <f aca="false">ROUNDUP(MAX(0,A50-가정!$B$18)/가정!$B$19,0)</f>
        <v>1</v>
      </c>
      <c r="E50" s="7" t="n">
        <f aca="false">D50*가정!$B$20</f>
        <v>2800000</v>
      </c>
      <c r="F50" s="7" t="n">
        <f aca="false">A50*가정!$B$22+B50*가정!$B$23</f>
        <v>1104000</v>
      </c>
      <c r="G50" s="7" t="n">
        <f aca="false">B50*가정!$B$24</f>
        <v>0</v>
      </c>
      <c r="H50" s="7" t="n">
        <f aca="false">B50-C50-E50-F50-G50</f>
        <v>1296000</v>
      </c>
      <c r="I50" s="7" t="n">
        <f aca="false">H50-IF(가정!$B$7=1,가정!$B$5,0)</f>
        <v>1296000</v>
      </c>
      <c r="J50" s="7" t="n">
        <f aca="false">MAX(0,I50)*가정!$B$6</f>
        <v>1166400</v>
      </c>
      <c r="K50" s="7" t="n">
        <f aca="false">가정!$B$5+J50</f>
        <v>1166400</v>
      </c>
      <c r="L50" s="7" t="n">
        <f aca="false">H50-K50</f>
        <v>129600</v>
      </c>
      <c r="M50" s="8" t="n">
        <f aca="false">IF(B50=0,0,K50/B50)</f>
        <v>0.0845217391304348</v>
      </c>
      <c r="N50" s="7" t="n">
        <f aca="false">K50/가정!$B$8</f>
        <v>5832</v>
      </c>
      <c r="O50" s="7" t="n">
        <f aca="false">IF(I50&gt;0,A50,"")</f>
        <v>46</v>
      </c>
      <c r="P50" s="7" t="n">
        <f aca="false">IF(L50&gt;=0,A50,"")</f>
        <v>46</v>
      </c>
      <c r="Q50" s="7" t="str">
        <f aca="false">IF(K50&gt;=가정!$B$28,A50,"")</f>
        <v/>
      </c>
      <c r="R50" s="7" t="str">
        <f aca="false">IF(MAX(0,I50)*(1-가정!$B$6)*'1억 상환'!$B$6&gt;='1억 상환'!$B$5,A50,"")</f>
        <v/>
      </c>
    </row>
    <row r="51" customFormat="false" ht="15" hidden="false" customHeight="false" outlineLevel="0" collapsed="false">
      <c r="A51" s="7" t="n">
        <v>47</v>
      </c>
      <c r="B51" s="7" t="n">
        <f aca="false">A51*가정!$B$10</f>
        <v>14100000</v>
      </c>
      <c r="C51" s="7" t="n">
        <f aca="false">가정!$B$30</f>
        <v>8600000</v>
      </c>
      <c r="D51" s="7" t="n">
        <f aca="false">ROUNDUP(MAX(0,A51-가정!$B$18)/가정!$B$19,0)</f>
        <v>1</v>
      </c>
      <c r="E51" s="7" t="n">
        <f aca="false">D51*가정!$B$20</f>
        <v>2800000</v>
      </c>
      <c r="F51" s="7" t="n">
        <f aca="false">A51*가정!$B$22+B51*가정!$B$23</f>
        <v>1128000</v>
      </c>
      <c r="G51" s="7" t="n">
        <f aca="false">B51*가정!$B$24</f>
        <v>0</v>
      </c>
      <c r="H51" s="7" t="n">
        <f aca="false">B51-C51-E51-F51-G51</f>
        <v>1572000</v>
      </c>
      <c r="I51" s="7" t="n">
        <f aca="false">H51-IF(가정!$B$7=1,가정!$B$5,0)</f>
        <v>1572000</v>
      </c>
      <c r="J51" s="7" t="n">
        <f aca="false">MAX(0,I51)*가정!$B$6</f>
        <v>1414800</v>
      </c>
      <c r="K51" s="7" t="n">
        <f aca="false">가정!$B$5+J51</f>
        <v>1414800</v>
      </c>
      <c r="L51" s="7" t="n">
        <f aca="false">H51-K51</f>
        <v>157200</v>
      </c>
      <c r="M51" s="8" t="n">
        <f aca="false">IF(B51=0,0,K51/B51)</f>
        <v>0.100340425531915</v>
      </c>
      <c r="N51" s="7" t="n">
        <f aca="false">K51/가정!$B$8</f>
        <v>7074</v>
      </c>
      <c r="O51" s="7" t="n">
        <f aca="false">IF(I51&gt;0,A51,"")</f>
        <v>47</v>
      </c>
      <c r="P51" s="7" t="n">
        <f aca="false">IF(L51&gt;=0,A51,"")</f>
        <v>47</v>
      </c>
      <c r="Q51" s="7" t="str">
        <f aca="false">IF(K51&gt;=가정!$B$28,A51,"")</f>
        <v/>
      </c>
      <c r="R51" s="7" t="str">
        <f aca="false">IF(MAX(0,I51)*(1-가정!$B$6)*'1억 상환'!$B$6&gt;='1억 상환'!$B$5,A51,"")</f>
        <v/>
      </c>
    </row>
    <row r="52" customFormat="false" ht="15" hidden="false" customHeight="false" outlineLevel="0" collapsed="false">
      <c r="A52" s="7" t="n">
        <v>48</v>
      </c>
      <c r="B52" s="7" t="n">
        <f aca="false">A52*가정!$B$10</f>
        <v>14400000</v>
      </c>
      <c r="C52" s="7" t="n">
        <f aca="false">가정!$B$30</f>
        <v>8600000</v>
      </c>
      <c r="D52" s="7" t="n">
        <f aca="false">ROUNDUP(MAX(0,A52-가정!$B$18)/가정!$B$19,0)</f>
        <v>1</v>
      </c>
      <c r="E52" s="7" t="n">
        <f aca="false">D52*가정!$B$20</f>
        <v>2800000</v>
      </c>
      <c r="F52" s="7" t="n">
        <f aca="false">A52*가정!$B$22+B52*가정!$B$23</f>
        <v>1152000</v>
      </c>
      <c r="G52" s="7" t="n">
        <f aca="false">B52*가정!$B$24</f>
        <v>0</v>
      </c>
      <c r="H52" s="7" t="n">
        <f aca="false">B52-C52-E52-F52-G52</f>
        <v>1848000</v>
      </c>
      <c r="I52" s="7" t="n">
        <f aca="false">H52-IF(가정!$B$7=1,가정!$B$5,0)</f>
        <v>1848000</v>
      </c>
      <c r="J52" s="7" t="n">
        <f aca="false">MAX(0,I52)*가정!$B$6</f>
        <v>1663200</v>
      </c>
      <c r="K52" s="7" t="n">
        <f aca="false">가정!$B$5+J52</f>
        <v>1663200</v>
      </c>
      <c r="L52" s="7" t="n">
        <f aca="false">H52-K52</f>
        <v>184800</v>
      </c>
      <c r="M52" s="8" t="n">
        <f aca="false">IF(B52=0,0,K52/B52)</f>
        <v>0.1155</v>
      </c>
      <c r="N52" s="7" t="n">
        <f aca="false">K52/가정!$B$8</f>
        <v>8316</v>
      </c>
      <c r="O52" s="7" t="n">
        <f aca="false">IF(I52&gt;0,A52,"")</f>
        <v>48</v>
      </c>
      <c r="P52" s="7" t="n">
        <f aca="false">IF(L52&gt;=0,A52,"")</f>
        <v>48</v>
      </c>
      <c r="Q52" s="7" t="str">
        <f aca="false">IF(K52&gt;=가정!$B$28,A52,"")</f>
        <v/>
      </c>
      <c r="R52" s="7" t="str">
        <f aca="false">IF(MAX(0,I52)*(1-가정!$B$6)*'1억 상환'!$B$6&gt;='1억 상환'!$B$5,A52,"")</f>
        <v/>
      </c>
    </row>
    <row r="53" customFormat="false" ht="15" hidden="false" customHeight="false" outlineLevel="0" collapsed="false">
      <c r="A53" s="7" t="n">
        <v>49</v>
      </c>
      <c r="B53" s="7" t="n">
        <f aca="false">A53*가정!$B$10</f>
        <v>14700000</v>
      </c>
      <c r="C53" s="7" t="n">
        <f aca="false">가정!$B$30</f>
        <v>8600000</v>
      </c>
      <c r="D53" s="7" t="n">
        <f aca="false">ROUNDUP(MAX(0,A53-가정!$B$18)/가정!$B$19,0)</f>
        <v>1</v>
      </c>
      <c r="E53" s="7" t="n">
        <f aca="false">D53*가정!$B$20</f>
        <v>2800000</v>
      </c>
      <c r="F53" s="7" t="n">
        <f aca="false">A53*가정!$B$22+B53*가정!$B$23</f>
        <v>1176000</v>
      </c>
      <c r="G53" s="7" t="n">
        <f aca="false">B53*가정!$B$24</f>
        <v>0</v>
      </c>
      <c r="H53" s="7" t="n">
        <f aca="false">B53-C53-E53-F53-G53</f>
        <v>2124000</v>
      </c>
      <c r="I53" s="7" t="n">
        <f aca="false">H53-IF(가정!$B$7=1,가정!$B$5,0)</f>
        <v>2124000</v>
      </c>
      <c r="J53" s="7" t="n">
        <f aca="false">MAX(0,I53)*가정!$B$6</f>
        <v>1911600</v>
      </c>
      <c r="K53" s="7" t="n">
        <f aca="false">가정!$B$5+J53</f>
        <v>1911600</v>
      </c>
      <c r="L53" s="7" t="n">
        <f aca="false">H53-K53</f>
        <v>212400</v>
      </c>
      <c r="M53" s="8" t="n">
        <f aca="false">IF(B53=0,0,K53/B53)</f>
        <v>0.130040816326531</v>
      </c>
      <c r="N53" s="7" t="n">
        <f aca="false">K53/가정!$B$8</f>
        <v>9558</v>
      </c>
      <c r="O53" s="7" t="n">
        <f aca="false">IF(I53&gt;0,A53,"")</f>
        <v>49</v>
      </c>
      <c r="P53" s="7" t="n">
        <f aca="false">IF(L53&gt;=0,A53,"")</f>
        <v>49</v>
      </c>
      <c r="Q53" s="7" t="str">
        <f aca="false">IF(K53&gt;=가정!$B$28,A53,"")</f>
        <v/>
      </c>
      <c r="R53" s="7" t="str">
        <f aca="false">IF(MAX(0,I53)*(1-가정!$B$6)*'1억 상환'!$B$6&gt;='1억 상환'!$B$5,A53,"")</f>
        <v/>
      </c>
    </row>
    <row r="54" customFormat="false" ht="15" hidden="false" customHeight="false" outlineLevel="0" collapsed="false">
      <c r="A54" s="7" t="n">
        <v>50</v>
      </c>
      <c r="B54" s="7" t="n">
        <f aca="false">A54*가정!$B$10</f>
        <v>15000000</v>
      </c>
      <c r="C54" s="7" t="n">
        <f aca="false">가정!$B$30</f>
        <v>8600000</v>
      </c>
      <c r="D54" s="7" t="n">
        <f aca="false">ROUNDUP(MAX(0,A54-가정!$B$18)/가정!$B$19,0)</f>
        <v>1</v>
      </c>
      <c r="E54" s="7" t="n">
        <f aca="false">D54*가정!$B$20</f>
        <v>2800000</v>
      </c>
      <c r="F54" s="7" t="n">
        <f aca="false">A54*가정!$B$22+B54*가정!$B$23</f>
        <v>1200000</v>
      </c>
      <c r="G54" s="7" t="n">
        <f aca="false">B54*가정!$B$24</f>
        <v>0</v>
      </c>
      <c r="H54" s="7" t="n">
        <f aca="false">B54-C54-E54-F54-G54</f>
        <v>2400000</v>
      </c>
      <c r="I54" s="7" t="n">
        <f aca="false">H54-IF(가정!$B$7=1,가정!$B$5,0)</f>
        <v>2400000</v>
      </c>
      <c r="J54" s="7" t="n">
        <f aca="false">MAX(0,I54)*가정!$B$6</f>
        <v>2160000</v>
      </c>
      <c r="K54" s="7" t="n">
        <f aca="false">가정!$B$5+J54</f>
        <v>2160000</v>
      </c>
      <c r="L54" s="7" t="n">
        <f aca="false">H54-K54</f>
        <v>240000</v>
      </c>
      <c r="M54" s="8" t="n">
        <f aca="false">IF(B54=0,0,K54/B54)</f>
        <v>0.144</v>
      </c>
      <c r="N54" s="7" t="n">
        <f aca="false">K54/가정!$B$8</f>
        <v>10800</v>
      </c>
      <c r="O54" s="7" t="n">
        <f aca="false">IF(I54&gt;0,A54,"")</f>
        <v>50</v>
      </c>
      <c r="P54" s="7" t="n">
        <f aca="false">IF(L54&gt;=0,A54,"")</f>
        <v>50</v>
      </c>
      <c r="Q54" s="7" t="str">
        <f aca="false">IF(K54&gt;=가정!$B$28,A54,"")</f>
        <v/>
      </c>
      <c r="R54" s="7" t="str">
        <f aca="false">IF(MAX(0,I54)*(1-가정!$B$6)*'1억 상환'!$B$6&gt;='1억 상환'!$B$5,A54,"")</f>
        <v/>
      </c>
    </row>
    <row r="55" customFormat="false" ht="15" hidden="false" customHeight="false" outlineLevel="0" collapsed="false">
      <c r="A55" s="7" t="n">
        <v>51</v>
      </c>
      <c r="B55" s="7" t="n">
        <f aca="false">A55*가정!$B$10</f>
        <v>15300000</v>
      </c>
      <c r="C55" s="7" t="n">
        <f aca="false">가정!$B$30</f>
        <v>8600000</v>
      </c>
      <c r="D55" s="7" t="n">
        <f aca="false">ROUNDUP(MAX(0,A55-가정!$B$18)/가정!$B$19,0)</f>
        <v>2</v>
      </c>
      <c r="E55" s="7" t="n">
        <f aca="false">D55*가정!$B$20</f>
        <v>5600000</v>
      </c>
      <c r="F55" s="7" t="n">
        <f aca="false">A55*가정!$B$22+B55*가정!$B$23</f>
        <v>1224000</v>
      </c>
      <c r="G55" s="7" t="n">
        <f aca="false">B55*가정!$B$24</f>
        <v>0</v>
      </c>
      <c r="H55" s="7" t="n">
        <f aca="false">B55-C55-E55-F55-G55</f>
        <v>-124000</v>
      </c>
      <c r="I55" s="7" t="n">
        <f aca="false">H55-IF(가정!$B$7=1,가정!$B$5,0)</f>
        <v>-124000</v>
      </c>
      <c r="J55" s="7" t="n">
        <f aca="false">MAX(0,I55)*가정!$B$6</f>
        <v>0</v>
      </c>
      <c r="K55" s="7" t="n">
        <f aca="false">가정!$B$5+J55</f>
        <v>0</v>
      </c>
      <c r="L55" s="7" t="n">
        <f aca="false">H55-K55</f>
        <v>-124000</v>
      </c>
      <c r="M55" s="8" t="n">
        <f aca="false">IF(B55=0,0,K55/B55)</f>
        <v>0</v>
      </c>
      <c r="N55" s="7" t="n">
        <f aca="false">K55/가정!$B$8</f>
        <v>0</v>
      </c>
      <c r="O55" s="7" t="str">
        <f aca="false">IF(I55&gt;0,A55,"")</f>
        <v/>
      </c>
      <c r="P55" s="7" t="str">
        <f aca="false">IF(L55&gt;=0,A55,"")</f>
        <v/>
      </c>
      <c r="Q55" s="7" t="str">
        <f aca="false">IF(K55&gt;=가정!$B$28,A55,"")</f>
        <v/>
      </c>
      <c r="R55" s="7" t="str">
        <f aca="false">IF(MAX(0,I55)*(1-가정!$B$6)*'1억 상환'!$B$6&gt;='1억 상환'!$B$5,A55,"")</f>
        <v/>
      </c>
    </row>
    <row r="56" customFormat="false" ht="15" hidden="false" customHeight="false" outlineLevel="0" collapsed="false">
      <c r="A56" s="7" t="n">
        <v>52</v>
      </c>
      <c r="B56" s="7" t="n">
        <f aca="false">A56*가정!$B$10</f>
        <v>15600000</v>
      </c>
      <c r="C56" s="7" t="n">
        <f aca="false">가정!$B$30</f>
        <v>8600000</v>
      </c>
      <c r="D56" s="7" t="n">
        <f aca="false">ROUNDUP(MAX(0,A56-가정!$B$18)/가정!$B$19,0)</f>
        <v>2</v>
      </c>
      <c r="E56" s="7" t="n">
        <f aca="false">D56*가정!$B$20</f>
        <v>5600000</v>
      </c>
      <c r="F56" s="7" t="n">
        <f aca="false">A56*가정!$B$22+B56*가정!$B$23</f>
        <v>1248000</v>
      </c>
      <c r="G56" s="7" t="n">
        <f aca="false">B56*가정!$B$24</f>
        <v>0</v>
      </c>
      <c r="H56" s="7" t="n">
        <f aca="false">B56-C56-E56-F56-G56</f>
        <v>152000</v>
      </c>
      <c r="I56" s="7" t="n">
        <f aca="false">H56-IF(가정!$B$7=1,가정!$B$5,0)</f>
        <v>152000</v>
      </c>
      <c r="J56" s="7" t="n">
        <f aca="false">MAX(0,I56)*가정!$B$6</f>
        <v>136800</v>
      </c>
      <c r="K56" s="7" t="n">
        <f aca="false">가정!$B$5+J56</f>
        <v>136800</v>
      </c>
      <c r="L56" s="7" t="n">
        <f aca="false">H56-K56</f>
        <v>15200</v>
      </c>
      <c r="M56" s="8" t="n">
        <f aca="false">IF(B56=0,0,K56/B56)</f>
        <v>0.00876923076923077</v>
      </c>
      <c r="N56" s="7" t="n">
        <f aca="false">K56/가정!$B$8</f>
        <v>684</v>
      </c>
      <c r="O56" s="7" t="n">
        <f aca="false">IF(I56&gt;0,A56,"")</f>
        <v>52</v>
      </c>
      <c r="P56" s="7" t="n">
        <f aca="false">IF(L56&gt;=0,A56,"")</f>
        <v>52</v>
      </c>
      <c r="Q56" s="7" t="str">
        <f aca="false">IF(K56&gt;=가정!$B$28,A56,"")</f>
        <v/>
      </c>
      <c r="R56" s="7" t="str">
        <f aca="false">IF(MAX(0,I56)*(1-가정!$B$6)*'1억 상환'!$B$6&gt;='1억 상환'!$B$5,A56,"")</f>
        <v/>
      </c>
    </row>
    <row r="57" customFormat="false" ht="15" hidden="false" customHeight="false" outlineLevel="0" collapsed="false">
      <c r="A57" s="7" t="n">
        <v>53</v>
      </c>
      <c r="B57" s="7" t="n">
        <f aca="false">A57*가정!$B$10</f>
        <v>15900000</v>
      </c>
      <c r="C57" s="7" t="n">
        <f aca="false">가정!$B$30</f>
        <v>8600000</v>
      </c>
      <c r="D57" s="7" t="n">
        <f aca="false">ROUNDUP(MAX(0,A57-가정!$B$18)/가정!$B$19,0)</f>
        <v>2</v>
      </c>
      <c r="E57" s="7" t="n">
        <f aca="false">D57*가정!$B$20</f>
        <v>5600000</v>
      </c>
      <c r="F57" s="7" t="n">
        <f aca="false">A57*가정!$B$22+B57*가정!$B$23</f>
        <v>1272000</v>
      </c>
      <c r="G57" s="7" t="n">
        <f aca="false">B57*가정!$B$24</f>
        <v>0</v>
      </c>
      <c r="H57" s="7" t="n">
        <f aca="false">B57-C57-E57-F57-G57</f>
        <v>428000</v>
      </c>
      <c r="I57" s="7" t="n">
        <f aca="false">H57-IF(가정!$B$7=1,가정!$B$5,0)</f>
        <v>428000</v>
      </c>
      <c r="J57" s="7" t="n">
        <f aca="false">MAX(0,I57)*가정!$B$6</f>
        <v>385200</v>
      </c>
      <c r="K57" s="7" t="n">
        <f aca="false">가정!$B$5+J57</f>
        <v>385200</v>
      </c>
      <c r="L57" s="7" t="n">
        <f aca="false">H57-K57</f>
        <v>42800</v>
      </c>
      <c r="M57" s="8" t="n">
        <f aca="false">IF(B57=0,0,K57/B57)</f>
        <v>0.0242264150943396</v>
      </c>
      <c r="N57" s="7" t="n">
        <f aca="false">K57/가정!$B$8</f>
        <v>1926</v>
      </c>
      <c r="O57" s="7" t="n">
        <f aca="false">IF(I57&gt;0,A57,"")</f>
        <v>53</v>
      </c>
      <c r="P57" s="7" t="n">
        <f aca="false">IF(L57&gt;=0,A57,"")</f>
        <v>53</v>
      </c>
      <c r="Q57" s="7" t="str">
        <f aca="false">IF(K57&gt;=가정!$B$28,A57,"")</f>
        <v/>
      </c>
      <c r="R57" s="7" t="str">
        <f aca="false">IF(MAX(0,I57)*(1-가정!$B$6)*'1억 상환'!$B$6&gt;='1억 상환'!$B$5,A57,"")</f>
        <v/>
      </c>
    </row>
    <row r="58" customFormat="false" ht="15" hidden="false" customHeight="false" outlineLevel="0" collapsed="false">
      <c r="A58" s="7" t="n">
        <v>54</v>
      </c>
      <c r="B58" s="7" t="n">
        <f aca="false">A58*가정!$B$10</f>
        <v>16200000</v>
      </c>
      <c r="C58" s="7" t="n">
        <f aca="false">가정!$B$30</f>
        <v>8600000</v>
      </c>
      <c r="D58" s="7" t="n">
        <f aca="false">ROUNDUP(MAX(0,A58-가정!$B$18)/가정!$B$19,0)</f>
        <v>2</v>
      </c>
      <c r="E58" s="7" t="n">
        <f aca="false">D58*가정!$B$20</f>
        <v>5600000</v>
      </c>
      <c r="F58" s="7" t="n">
        <f aca="false">A58*가정!$B$22+B58*가정!$B$23</f>
        <v>1296000</v>
      </c>
      <c r="G58" s="7" t="n">
        <f aca="false">B58*가정!$B$24</f>
        <v>0</v>
      </c>
      <c r="H58" s="7" t="n">
        <f aca="false">B58-C58-E58-F58-G58</f>
        <v>704000</v>
      </c>
      <c r="I58" s="7" t="n">
        <f aca="false">H58-IF(가정!$B$7=1,가정!$B$5,0)</f>
        <v>704000</v>
      </c>
      <c r="J58" s="7" t="n">
        <f aca="false">MAX(0,I58)*가정!$B$6</f>
        <v>633600</v>
      </c>
      <c r="K58" s="7" t="n">
        <f aca="false">가정!$B$5+J58</f>
        <v>633600</v>
      </c>
      <c r="L58" s="7" t="n">
        <f aca="false">H58-K58</f>
        <v>70400</v>
      </c>
      <c r="M58" s="8" t="n">
        <f aca="false">IF(B58=0,0,K58/B58)</f>
        <v>0.0391111111111111</v>
      </c>
      <c r="N58" s="7" t="n">
        <f aca="false">K58/가정!$B$8</f>
        <v>3168</v>
      </c>
      <c r="O58" s="7" t="n">
        <f aca="false">IF(I58&gt;0,A58,"")</f>
        <v>54</v>
      </c>
      <c r="P58" s="7" t="n">
        <f aca="false">IF(L58&gt;=0,A58,"")</f>
        <v>54</v>
      </c>
      <c r="Q58" s="7" t="str">
        <f aca="false">IF(K58&gt;=가정!$B$28,A58,"")</f>
        <v/>
      </c>
      <c r="R58" s="7" t="str">
        <f aca="false">IF(MAX(0,I58)*(1-가정!$B$6)*'1억 상환'!$B$6&gt;='1억 상환'!$B$5,A58,"")</f>
        <v/>
      </c>
    </row>
    <row r="59" customFormat="false" ht="15" hidden="false" customHeight="false" outlineLevel="0" collapsed="false">
      <c r="A59" s="7" t="n">
        <v>55</v>
      </c>
      <c r="B59" s="7" t="n">
        <f aca="false">A59*가정!$B$10</f>
        <v>16500000</v>
      </c>
      <c r="C59" s="7" t="n">
        <f aca="false">가정!$B$30</f>
        <v>8600000</v>
      </c>
      <c r="D59" s="7" t="n">
        <f aca="false">ROUNDUP(MAX(0,A59-가정!$B$18)/가정!$B$19,0)</f>
        <v>2</v>
      </c>
      <c r="E59" s="7" t="n">
        <f aca="false">D59*가정!$B$20</f>
        <v>5600000</v>
      </c>
      <c r="F59" s="7" t="n">
        <f aca="false">A59*가정!$B$22+B59*가정!$B$23</f>
        <v>1320000</v>
      </c>
      <c r="G59" s="7" t="n">
        <f aca="false">B59*가정!$B$24</f>
        <v>0</v>
      </c>
      <c r="H59" s="7" t="n">
        <f aca="false">B59-C59-E59-F59-G59</f>
        <v>980000</v>
      </c>
      <c r="I59" s="7" t="n">
        <f aca="false">H59-IF(가정!$B$7=1,가정!$B$5,0)</f>
        <v>980000</v>
      </c>
      <c r="J59" s="7" t="n">
        <f aca="false">MAX(0,I59)*가정!$B$6</f>
        <v>882000</v>
      </c>
      <c r="K59" s="7" t="n">
        <f aca="false">가정!$B$5+J59</f>
        <v>882000</v>
      </c>
      <c r="L59" s="7" t="n">
        <f aca="false">H59-K59</f>
        <v>98000</v>
      </c>
      <c r="M59" s="8" t="n">
        <f aca="false">IF(B59=0,0,K59/B59)</f>
        <v>0.0534545454545455</v>
      </c>
      <c r="N59" s="7" t="n">
        <f aca="false">K59/가정!$B$8</f>
        <v>4410</v>
      </c>
      <c r="O59" s="7" t="n">
        <f aca="false">IF(I59&gt;0,A59,"")</f>
        <v>55</v>
      </c>
      <c r="P59" s="7" t="n">
        <f aca="false">IF(L59&gt;=0,A59,"")</f>
        <v>55</v>
      </c>
      <c r="Q59" s="7" t="str">
        <f aca="false">IF(K59&gt;=가정!$B$28,A59,"")</f>
        <v/>
      </c>
      <c r="R59" s="7" t="str">
        <f aca="false">IF(MAX(0,I59)*(1-가정!$B$6)*'1억 상환'!$B$6&gt;='1억 상환'!$B$5,A59,"")</f>
        <v/>
      </c>
    </row>
    <row r="60" customFormat="false" ht="15" hidden="false" customHeight="false" outlineLevel="0" collapsed="false">
      <c r="A60" s="7" t="n">
        <v>56</v>
      </c>
      <c r="B60" s="7" t="n">
        <f aca="false">A60*가정!$B$10</f>
        <v>16800000</v>
      </c>
      <c r="C60" s="7" t="n">
        <f aca="false">가정!$B$30</f>
        <v>8600000</v>
      </c>
      <c r="D60" s="7" t="n">
        <f aca="false">ROUNDUP(MAX(0,A60-가정!$B$18)/가정!$B$19,0)</f>
        <v>2</v>
      </c>
      <c r="E60" s="7" t="n">
        <f aca="false">D60*가정!$B$20</f>
        <v>5600000</v>
      </c>
      <c r="F60" s="7" t="n">
        <f aca="false">A60*가정!$B$22+B60*가정!$B$23</f>
        <v>1344000</v>
      </c>
      <c r="G60" s="7" t="n">
        <f aca="false">B60*가정!$B$24</f>
        <v>0</v>
      </c>
      <c r="H60" s="7" t="n">
        <f aca="false">B60-C60-E60-F60-G60</f>
        <v>1256000</v>
      </c>
      <c r="I60" s="7" t="n">
        <f aca="false">H60-IF(가정!$B$7=1,가정!$B$5,0)</f>
        <v>1256000</v>
      </c>
      <c r="J60" s="7" t="n">
        <f aca="false">MAX(0,I60)*가정!$B$6</f>
        <v>1130400</v>
      </c>
      <c r="K60" s="7" t="n">
        <f aca="false">가정!$B$5+J60</f>
        <v>1130400</v>
      </c>
      <c r="L60" s="7" t="n">
        <f aca="false">H60-K60</f>
        <v>125600</v>
      </c>
      <c r="M60" s="8" t="n">
        <f aca="false">IF(B60=0,0,K60/B60)</f>
        <v>0.0672857142857143</v>
      </c>
      <c r="N60" s="7" t="n">
        <f aca="false">K60/가정!$B$8</f>
        <v>5652</v>
      </c>
      <c r="O60" s="7" t="n">
        <f aca="false">IF(I60&gt;0,A60,"")</f>
        <v>56</v>
      </c>
      <c r="P60" s="7" t="n">
        <f aca="false">IF(L60&gt;=0,A60,"")</f>
        <v>56</v>
      </c>
      <c r="Q60" s="7" t="str">
        <f aca="false">IF(K60&gt;=가정!$B$28,A60,"")</f>
        <v/>
      </c>
      <c r="R60" s="7" t="str">
        <f aca="false">IF(MAX(0,I60)*(1-가정!$B$6)*'1억 상환'!$B$6&gt;='1억 상환'!$B$5,A60,"")</f>
        <v/>
      </c>
    </row>
    <row r="61" customFormat="false" ht="15" hidden="false" customHeight="false" outlineLevel="0" collapsed="false">
      <c r="A61" s="7" t="n">
        <v>57</v>
      </c>
      <c r="B61" s="7" t="n">
        <f aca="false">A61*가정!$B$10</f>
        <v>17100000</v>
      </c>
      <c r="C61" s="7" t="n">
        <f aca="false">가정!$B$30</f>
        <v>8600000</v>
      </c>
      <c r="D61" s="7" t="n">
        <f aca="false">ROUNDUP(MAX(0,A61-가정!$B$18)/가정!$B$19,0)</f>
        <v>2</v>
      </c>
      <c r="E61" s="7" t="n">
        <f aca="false">D61*가정!$B$20</f>
        <v>5600000</v>
      </c>
      <c r="F61" s="7" t="n">
        <f aca="false">A61*가정!$B$22+B61*가정!$B$23</f>
        <v>1368000</v>
      </c>
      <c r="G61" s="7" t="n">
        <f aca="false">B61*가정!$B$24</f>
        <v>0</v>
      </c>
      <c r="H61" s="7" t="n">
        <f aca="false">B61-C61-E61-F61-G61</f>
        <v>1532000</v>
      </c>
      <c r="I61" s="7" t="n">
        <f aca="false">H61-IF(가정!$B$7=1,가정!$B$5,0)</f>
        <v>1532000</v>
      </c>
      <c r="J61" s="7" t="n">
        <f aca="false">MAX(0,I61)*가정!$B$6</f>
        <v>1378800</v>
      </c>
      <c r="K61" s="7" t="n">
        <f aca="false">가정!$B$5+J61</f>
        <v>1378800</v>
      </c>
      <c r="L61" s="7" t="n">
        <f aca="false">H61-K61</f>
        <v>153200</v>
      </c>
      <c r="M61" s="8" t="n">
        <f aca="false">IF(B61=0,0,K61/B61)</f>
        <v>0.0806315789473684</v>
      </c>
      <c r="N61" s="7" t="n">
        <f aca="false">K61/가정!$B$8</f>
        <v>6894</v>
      </c>
      <c r="O61" s="7" t="n">
        <f aca="false">IF(I61&gt;0,A61,"")</f>
        <v>57</v>
      </c>
      <c r="P61" s="7" t="n">
        <f aca="false">IF(L61&gt;=0,A61,"")</f>
        <v>57</v>
      </c>
      <c r="Q61" s="7" t="str">
        <f aca="false">IF(K61&gt;=가정!$B$28,A61,"")</f>
        <v/>
      </c>
      <c r="R61" s="7" t="str">
        <f aca="false">IF(MAX(0,I61)*(1-가정!$B$6)*'1억 상환'!$B$6&gt;='1억 상환'!$B$5,A61,"")</f>
        <v/>
      </c>
    </row>
    <row r="62" customFormat="false" ht="15" hidden="false" customHeight="false" outlineLevel="0" collapsed="false">
      <c r="A62" s="7" t="n">
        <v>58</v>
      </c>
      <c r="B62" s="7" t="n">
        <f aca="false">A62*가정!$B$10</f>
        <v>17400000</v>
      </c>
      <c r="C62" s="7" t="n">
        <f aca="false">가정!$B$30</f>
        <v>8600000</v>
      </c>
      <c r="D62" s="7" t="n">
        <f aca="false">ROUNDUP(MAX(0,A62-가정!$B$18)/가정!$B$19,0)</f>
        <v>2</v>
      </c>
      <c r="E62" s="7" t="n">
        <f aca="false">D62*가정!$B$20</f>
        <v>5600000</v>
      </c>
      <c r="F62" s="7" t="n">
        <f aca="false">A62*가정!$B$22+B62*가정!$B$23</f>
        <v>1392000</v>
      </c>
      <c r="G62" s="7" t="n">
        <f aca="false">B62*가정!$B$24</f>
        <v>0</v>
      </c>
      <c r="H62" s="7" t="n">
        <f aca="false">B62-C62-E62-F62-G62</f>
        <v>1808000</v>
      </c>
      <c r="I62" s="7" t="n">
        <f aca="false">H62-IF(가정!$B$7=1,가정!$B$5,0)</f>
        <v>1808000</v>
      </c>
      <c r="J62" s="7" t="n">
        <f aca="false">MAX(0,I62)*가정!$B$6</f>
        <v>1627200</v>
      </c>
      <c r="K62" s="7" t="n">
        <f aca="false">가정!$B$5+J62</f>
        <v>1627200</v>
      </c>
      <c r="L62" s="7" t="n">
        <f aca="false">H62-K62</f>
        <v>180800</v>
      </c>
      <c r="M62" s="8" t="n">
        <f aca="false">IF(B62=0,0,K62/B62)</f>
        <v>0.0935172413793104</v>
      </c>
      <c r="N62" s="7" t="n">
        <f aca="false">K62/가정!$B$8</f>
        <v>8136</v>
      </c>
      <c r="O62" s="7" t="n">
        <f aca="false">IF(I62&gt;0,A62,"")</f>
        <v>58</v>
      </c>
      <c r="P62" s="7" t="n">
        <f aca="false">IF(L62&gt;=0,A62,"")</f>
        <v>58</v>
      </c>
      <c r="Q62" s="7" t="str">
        <f aca="false">IF(K62&gt;=가정!$B$28,A62,"")</f>
        <v/>
      </c>
      <c r="R62" s="7" t="str">
        <f aca="false">IF(MAX(0,I62)*(1-가정!$B$6)*'1억 상환'!$B$6&gt;='1억 상환'!$B$5,A62,"")</f>
        <v/>
      </c>
    </row>
    <row r="63" customFormat="false" ht="15" hidden="false" customHeight="false" outlineLevel="0" collapsed="false">
      <c r="A63" s="7" t="n">
        <v>59</v>
      </c>
      <c r="B63" s="7" t="n">
        <f aca="false">A63*가정!$B$10</f>
        <v>17700000</v>
      </c>
      <c r="C63" s="7" t="n">
        <f aca="false">가정!$B$30</f>
        <v>8600000</v>
      </c>
      <c r="D63" s="7" t="n">
        <f aca="false">ROUNDUP(MAX(0,A63-가정!$B$18)/가정!$B$19,0)</f>
        <v>2</v>
      </c>
      <c r="E63" s="7" t="n">
        <f aca="false">D63*가정!$B$20</f>
        <v>5600000</v>
      </c>
      <c r="F63" s="7" t="n">
        <f aca="false">A63*가정!$B$22+B63*가정!$B$23</f>
        <v>1416000</v>
      </c>
      <c r="G63" s="7" t="n">
        <f aca="false">B63*가정!$B$24</f>
        <v>0</v>
      </c>
      <c r="H63" s="7" t="n">
        <f aca="false">B63-C63-E63-F63-G63</f>
        <v>2084000</v>
      </c>
      <c r="I63" s="7" t="n">
        <f aca="false">H63-IF(가정!$B$7=1,가정!$B$5,0)</f>
        <v>2084000</v>
      </c>
      <c r="J63" s="7" t="n">
        <f aca="false">MAX(0,I63)*가정!$B$6</f>
        <v>1875600</v>
      </c>
      <c r="K63" s="7" t="n">
        <f aca="false">가정!$B$5+J63</f>
        <v>1875600</v>
      </c>
      <c r="L63" s="7" t="n">
        <f aca="false">H63-K63</f>
        <v>208400</v>
      </c>
      <c r="M63" s="8" t="n">
        <f aca="false">IF(B63=0,0,K63/B63)</f>
        <v>0.105966101694915</v>
      </c>
      <c r="N63" s="7" t="n">
        <f aca="false">K63/가정!$B$8</f>
        <v>9378</v>
      </c>
      <c r="O63" s="7" t="n">
        <f aca="false">IF(I63&gt;0,A63,"")</f>
        <v>59</v>
      </c>
      <c r="P63" s="7" t="n">
        <f aca="false">IF(L63&gt;=0,A63,"")</f>
        <v>59</v>
      </c>
      <c r="Q63" s="7" t="str">
        <f aca="false">IF(K63&gt;=가정!$B$28,A63,"")</f>
        <v/>
      </c>
      <c r="R63" s="7" t="str">
        <f aca="false">IF(MAX(0,I63)*(1-가정!$B$6)*'1억 상환'!$B$6&gt;='1억 상환'!$B$5,A63,"")</f>
        <v/>
      </c>
    </row>
    <row r="64" customFormat="false" ht="15" hidden="false" customHeight="false" outlineLevel="0" collapsed="false">
      <c r="A64" s="7" t="n">
        <v>60</v>
      </c>
      <c r="B64" s="7" t="n">
        <f aca="false">A64*가정!$B$10</f>
        <v>18000000</v>
      </c>
      <c r="C64" s="7" t="n">
        <f aca="false">가정!$B$30</f>
        <v>8600000</v>
      </c>
      <c r="D64" s="7" t="n">
        <f aca="false">ROUNDUP(MAX(0,A64-가정!$B$18)/가정!$B$19,0)</f>
        <v>2</v>
      </c>
      <c r="E64" s="7" t="n">
        <f aca="false">D64*가정!$B$20</f>
        <v>5600000</v>
      </c>
      <c r="F64" s="7" t="n">
        <f aca="false">A64*가정!$B$22+B64*가정!$B$23</f>
        <v>1440000</v>
      </c>
      <c r="G64" s="7" t="n">
        <f aca="false">B64*가정!$B$24</f>
        <v>0</v>
      </c>
      <c r="H64" s="7" t="n">
        <f aca="false">B64-C64-E64-F64-G64</f>
        <v>2360000</v>
      </c>
      <c r="I64" s="7" t="n">
        <f aca="false">H64-IF(가정!$B$7=1,가정!$B$5,0)</f>
        <v>2360000</v>
      </c>
      <c r="J64" s="7" t="n">
        <f aca="false">MAX(0,I64)*가정!$B$6</f>
        <v>2124000</v>
      </c>
      <c r="K64" s="7" t="n">
        <f aca="false">가정!$B$5+J64</f>
        <v>2124000</v>
      </c>
      <c r="L64" s="7" t="n">
        <f aca="false">H64-K64</f>
        <v>236000</v>
      </c>
      <c r="M64" s="8" t="n">
        <f aca="false">IF(B64=0,0,K64/B64)</f>
        <v>0.118</v>
      </c>
      <c r="N64" s="7" t="n">
        <f aca="false">K64/가정!$B$8</f>
        <v>10620</v>
      </c>
      <c r="O64" s="7" t="n">
        <f aca="false">IF(I64&gt;0,A64,"")</f>
        <v>60</v>
      </c>
      <c r="P64" s="7" t="n">
        <f aca="false">IF(L64&gt;=0,A64,"")</f>
        <v>60</v>
      </c>
      <c r="Q64" s="7" t="str">
        <f aca="false">IF(K64&gt;=가정!$B$28,A64,"")</f>
        <v/>
      </c>
      <c r="R64" s="7" t="str">
        <f aca="false">IF(MAX(0,I64)*(1-가정!$B$6)*'1억 상환'!$B$6&gt;='1억 상환'!$B$5,A64,"")</f>
        <v/>
      </c>
    </row>
    <row r="65" customFormat="false" ht="15" hidden="false" customHeight="false" outlineLevel="0" collapsed="false">
      <c r="A65" s="7" t="n">
        <v>61</v>
      </c>
      <c r="B65" s="7" t="n">
        <f aca="false">A65*가정!$B$10</f>
        <v>18300000</v>
      </c>
      <c r="C65" s="7" t="n">
        <f aca="false">가정!$B$30</f>
        <v>8600000</v>
      </c>
      <c r="D65" s="7" t="n">
        <f aca="false">ROUNDUP(MAX(0,A65-가정!$B$18)/가정!$B$19,0)</f>
        <v>2</v>
      </c>
      <c r="E65" s="7" t="n">
        <f aca="false">D65*가정!$B$20</f>
        <v>5600000</v>
      </c>
      <c r="F65" s="7" t="n">
        <f aca="false">A65*가정!$B$22+B65*가정!$B$23</f>
        <v>1464000</v>
      </c>
      <c r="G65" s="7" t="n">
        <f aca="false">B65*가정!$B$24</f>
        <v>0</v>
      </c>
      <c r="H65" s="7" t="n">
        <f aca="false">B65-C65-E65-F65-G65</f>
        <v>2636000</v>
      </c>
      <c r="I65" s="7" t="n">
        <f aca="false">H65-IF(가정!$B$7=1,가정!$B$5,0)</f>
        <v>2636000</v>
      </c>
      <c r="J65" s="7" t="n">
        <f aca="false">MAX(0,I65)*가정!$B$6</f>
        <v>2372400</v>
      </c>
      <c r="K65" s="7" t="n">
        <f aca="false">가정!$B$5+J65</f>
        <v>2372400</v>
      </c>
      <c r="L65" s="7" t="n">
        <f aca="false">H65-K65</f>
        <v>263600</v>
      </c>
      <c r="M65" s="8" t="n">
        <f aca="false">IF(B65=0,0,K65/B65)</f>
        <v>0.129639344262295</v>
      </c>
      <c r="N65" s="7" t="n">
        <f aca="false">K65/가정!$B$8</f>
        <v>11862</v>
      </c>
      <c r="O65" s="7" t="n">
        <f aca="false">IF(I65&gt;0,A65,"")</f>
        <v>61</v>
      </c>
      <c r="P65" s="7" t="n">
        <f aca="false">IF(L65&gt;=0,A65,"")</f>
        <v>61</v>
      </c>
      <c r="Q65" s="7" t="str">
        <f aca="false">IF(K65&gt;=가정!$B$28,A65,"")</f>
        <v/>
      </c>
      <c r="R65" s="7" t="str">
        <f aca="false">IF(MAX(0,I65)*(1-가정!$B$6)*'1억 상환'!$B$6&gt;='1억 상환'!$B$5,A65,"")</f>
        <v/>
      </c>
    </row>
    <row r="66" customFormat="false" ht="15" hidden="false" customHeight="false" outlineLevel="0" collapsed="false">
      <c r="A66" s="7" t="n">
        <v>62</v>
      </c>
      <c r="B66" s="7" t="n">
        <f aca="false">A66*가정!$B$10</f>
        <v>18600000</v>
      </c>
      <c r="C66" s="7" t="n">
        <f aca="false">가정!$B$30</f>
        <v>8600000</v>
      </c>
      <c r="D66" s="7" t="n">
        <f aca="false">ROUNDUP(MAX(0,A66-가정!$B$18)/가정!$B$19,0)</f>
        <v>2</v>
      </c>
      <c r="E66" s="7" t="n">
        <f aca="false">D66*가정!$B$20</f>
        <v>5600000</v>
      </c>
      <c r="F66" s="7" t="n">
        <f aca="false">A66*가정!$B$22+B66*가정!$B$23</f>
        <v>1488000</v>
      </c>
      <c r="G66" s="7" t="n">
        <f aca="false">B66*가정!$B$24</f>
        <v>0</v>
      </c>
      <c r="H66" s="7" t="n">
        <f aca="false">B66-C66-E66-F66-G66</f>
        <v>2912000</v>
      </c>
      <c r="I66" s="7" t="n">
        <f aca="false">H66-IF(가정!$B$7=1,가정!$B$5,0)</f>
        <v>2912000</v>
      </c>
      <c r="J66" s="7" t="n">
        <f aca="false">MAX(0,I66)*가정!$B$6</f>
        <v>2620800</v>
      </c>
      <c r="K66" s="7" t="n">
        <f aca="false">가정!$B$5+J66</f>
        <v>2620800</v>
      </c>
      <c r="L66" s="7" t="n">
        <f aca="false">H66-K66</f>
        <v>291200</v>
      </c>
      <c r="M66" s="8" t="n">
        <f aca="false">IF(B66=0,0,K66/B66)</f>
        <v>0.140903225806452</v>
      </c>
      <c r="N66" s="7" t="n">
        <f aca="false">K66/가정!$B$8</f>
        <v>13104</v>
      </c>
      <c r="O66" s="7" t="n">
        <f aca="false">IF(I66&gt;0,A66,"")</f>
        <v>62</v>
      </c>
      <c r="P66" s="7" t="n">
        <f aca="false">IF(L66&gt;=0,A66,"")</f>
        <v>62</v>
      </c>
      <c r="Q66" s="7" t="str">
        <f aca="false">IF(K66&gt;=가정!$B$28,A66,"")</f>
        <v/>
      </c>
      <c r="R66" s="7" t="str">
        <f aca="false">IF(MAX(0,I66)*(1-가정!$B$6)*'1억 상환'!$B$6&gt;='1억 상환'!$B$5,A66,"")</f>
        <v/>
      </c>
    </row>
    <row r="67" customFormat="false" ht="15" hidden="false" customHeight="false" outlineLevel="0" collapsed="false">
      <c r="A67" s="7" t="n">
        <v>63</v>
      </c>
      <c r="B67" s="7" t="n">
        <f aca="false">A67*가정!$B$10</f>
        <v>18900000</v>
      </c>
      <c r="C67" s="7" t="n">
        <f aca="false">가정!$B$30</f>
        <v>8600000</v>
      </c>
      <c r="D67" s="7" t="n">
        <f aca="false">ROUNDUP(MAX(0,A67-가정!$B$18)/가정!$B$19,0)</f>
        <v>2</v>
      </c>
      <c r="E67" s="7" t="n">
        <f aca="false">D67*가정!$B$20</f>
        <v>5600000</v>
      </c>
      <c r="F67" s="7" t="n">
        <f aca="false">A67*가정!$B$22+B67*가정!$B$23</f>
        <v>1512000</v>
      </c>
      <c r="G67" s="7" t="n">
        <f aca="false">B67*가정!$B$24</f>
        <v>0</v>
      </c>
      <c r="H67" s="7" t="n">
        <f aca="false">B67-C67-E67-F67-G67</f>
        <v>3188000</v>
      </c>
      <c r="I67" s="7" t="n">
        <f aca="false">H67-IF(가정!$B$7=1,가정!$B$5,0)</f>
        <v>3188000</v>
      </c>
      <c r="J67" s="7" t="n">
        <f aca="false">MAX(0,I67)*가정!$B$6</f>
        <v>2869200</v>
      </c>
      <c r="K67" s="7" t="n">
        <f aca="false">가정!$B$5+J67</f>
        <v>2869200</v>
      </c>
      <c r="L67" s="7" t="n">
        <f aca="false">H67-K67</f>
        <v>318800</v>
      </c>
      <c r="M67" s="8" t="n">
        <f aca="false">IF(B67=0,0,K67/B67)</f>
        <v>0.151809523809524</v>
      </c>
      <c r="N67" s="7" t="n">
        <f aca="false">K67/가정!$B$8</f>
        <v>14346</v>
      </c>
      <c r="O67" s="7" t="n">
        <f aca="false">IF(I67&gt;0,A67,"")</f>
        <v>63</v>
      </c>
      <c r="P67" s="7" t="n">
        <f aca="false">IF(L67&gt;=0,A67,"")</f>
        <v>63</v>
      </c>
      <c r="Q67" s="7" t="str">
        <f aca="false">IF(K67&gt;=가정!$B$28,A67,"")</f>
        <v/>
      </c>
      <c r="R67" s="7" t="str">
        <f aca="false">IF(MAX(0,I67)*(1-가정!$B$6)*'1억 상환'!$B$6&gt;='1억 상환'!$B$5,A67,"")</f>
        <v/>
      </c>
    </row>
    <row r="68" customFormat="false" ht="15" hidden="false" customHeight="false" outlineLevel="0" collapsed="false">
      <c r="A68" s="7" t="n">
        <v>64</v>
      </c>
      <c r="B68" s="7" t="n">
        <f aca="false">A68*가정!$B$10</f>
        <v>19200000</v>
      </c>
      <c r="C68" s="7" t="n">
        <f aca="false">가정!$B$30</f>
        <v>8600000</v>
      </c>
      <c r="D68" s="7" t="n">
        <f aca="false">ROUNDUP(MAX(0,A68-가정!$B$18)/가정!$B$19,0)</f>
        <v>2</v>
      </c>
      <c r="E68" s="7" t="n">
        <f aca="false">D68*가정!$B$20</f>
        <v>5600000</v>
      </c>
      <c r="F68" s="7" t="n">
        <f aca="false">A68*가정!$B$22+B68*가정!$B$23</f>
        <v>1536000</v>
      </c>
      <c r="G68" s="7" t="n">
        <f aca="false">B68*가정!$B$24</f>
        <v>0</v>
      </c>
      <c r="H68" s="7" t="n">
        <f aca="false">B68-C68-E68-F68-G68</f>
        <v>3464000</v>
      </c>
      <c r="I68" s="7" t="n">
        <f aca="false">H68-IF(가정!$B$7=1,가정!$B$5,0)</f>
        <v>3464000</v>
      </c>
      <c r="J68" s="7" t="n">
        <f aca="false">MAX(0,I68)*가정!$B$6</f>
        <v>3117600</v>
      </c>
      <c r="K68" s="7" t="n">
        <f aca="false">가정!$B$5+J68</f>
        <v>3117600</v>
      </c>
      <c r="L68" s="7" t="n">
        <f aca="false">H68-K68</f>
        <v>346400</v>
      </c>
      <c r="M68" s="8" t="n">
        <f aca="false">IF(B68=0,0,K68/B68)</f>
        <v>0.162375</v>
      </c>
      <c r="N68" s="7" t="n">
        <f aca="false">K68/가정!$B$8</f>
        <v>15588</v>
      </c>
      <c r="O68" s="7" t="n">
        <f aca="false">IF(I68&gt;0,A68,"")</f>
        <v>64</v>
      </c>
      <c r="P68" s="7" t="n">
        <f aca="false">IF(L68&gt;=0,A68,"")</f>
        <v>64</v>
      </c>
      <c r="Q68" s="7" t="str">
        <f aca="false">IF(K68&gt;=가정!$B$28,A68,"")</f>
        <v/>
      </c>
      <c r="R68" s="7" t="str">
        <f aca="false">IF(MAX(0,I68)*(1-가정!$B$6)*'1억 상환'!$B$6&gt;='1억 상환'!$B$5,A68,"")</f>
        <v/>
      </c>
    </row>
    <row r="69" customFormat="false" ht="15" hidden="false" customHeight="false" outlineLevel="0" collapsed="false">
      <c r="A69" s="7" t="n">
        <v>65</v>
      </c>
      <c r="B69" s="7" t="n">
        <f aca="false">A69*가정!$B$10</f>
        <v>19500000</v>
      </c>
      <c r="C69" s="7" t="n">
        <f aca="false">가정!$B$30</f>
        <v>8600000</v>
      </c>
      <c r="D69" s="7" t="n">
        <f aca="false">ROUNDUP(MAX(0,A69-가정!$B$18)/가정!$B$19,0)</f>
        <v>2</v>
      </c>
      <c r="E69" s="7" t="n">
        <f aca="false">D69*가정!$B$20</f>
        <v>5600000</v>
      </c>
      <c r="F69" s="7" t="n">
        <f aca="false">A69*가정!$B$22+B69*가정!$B$23</f>
        <v>1560000</v>
      </c>
      <c r="G69" s="7" t="n">
        <f aca="false">B69*가정!$B$24</f>
        <v>0</v>
      </c>
      <c r="H69" s="7" t="n">
        <f aca="false">B69-C69-E69-F69-G69</f>
        <v>3740000</v>
      </c>
      <c r="I69" s="7" t="n">
        <f aca="false">H69-IF(가정!$B$7=1,가정!$B$5,0)</f>
        <v>3740000</v>
      </c>
      <c r="J69" s="7" t="n">
        <f aca="false">MAX(0,I69)*가정!$B$6</f>
        <v>3366000</v>
      </c>
      <c r="K69" s="7" t="n">
        <f aca="false">가정!$B$5+J69</f>
        <v>3366000</v>
      </c>
      <c r="L69" s="7" t="n">
        <f aca="false">H69-K69</f>
        <v>374000</v>
      </c>
      <c r="M69" s="8" t="n">
        <f aca="false">IF(B69=0,0,K69/B69)</f>
        <v>0.172615384615385</v>
      </c>
      <c r="N69" s="7" t="n">
        <f aca="false">K69/가정!$B$8</f>
        <v>16830</v>
      </c>
      <c r="O69" s="7" t="n">
        <f aca="false">IF(I69&gt;0,A69,"")</f>
        <v>65</v>
      </c>
      <c r="P69" s="7" t="n">
        <f aca="false">IF(L69&gt;=0,A69,"")</f>
        <v>65</v>
      </c>
      <c r="Q69" s="7" t="str">
        <f aca="false">IF(K69&gt;=가정!$B$28,A69,"")</f>
        <v/>
      </c>
      <c r="R69" s="7" t="str">
        <f aca="false">IF(MAX(0,I69)*(1-가정!$B$6)*'1억 상환'!$B$6&gt;='1억 상환'!$B$5,A69,"")</f>
        <v/>
      </c>
    </row>
    <row r="70" customFormat="false" ht="15" hidden="false" customHeight="false" outlineLevel="0" collapsed="false">
      <c r="A70" s="7" t="n">
        <v>66</v>
      </c>
      <c r="B70" s="7" t="n">
        <f aca="false">A70*가정!$B$10</f>
        <v>19800000</v>
      </c>
      <c r="C70" s="7" t="n">
        <f aca="false">가정!$B$30</f>
        <v>8600000</v>
      </c>
      <c r="D70" s="7" t="n">
        <f aca="false">ROUNDUP(MAX(0,A70-가정!$B$18)/가정!$B$19,0)</f>
        <v>2</v>
      </c>
      <c r="E70" s="7" t="n">
        <f aca="false">D70*가정!$B$20</f>
        <v>5600000</v>
      </c>
      <c r="F70" s="7" t="n">
        <f aca="false">A70*가정!$B$22+B70*가정!$B$23</f>
        <v>1584000</v>
      </c>
      <c r="G70" s="7" t="n">
        <f aca="false">B70*가정!$B$24</f>
        <v>0</v>
      </c>
      <c r="H70" s="7" t="n">
        <f aca="false">B70-C70-E70-F70-G70</f>
        <v>4016000</v>
      </c>
      <c r="I70" s="7" t="n">
        <f aca="false">H70-IF(가정!$B$7=1,가정!$B$5,0)</f>
        <v>4016000</v>
      </c>
      <c r="J70" s="7" t="n">
        <f aca="false">MAX(0,I70)*가정!$B$6</f>
        <v>3614400</v>
      </c>
      <c r="K70" s="7" t="n">
        <f aca="false">가정!$B$5+J70</f>
        <v>3614400</v>
      </c>
      <c r="L70" s="7" t="n">
        <f aca="false">H70-K70</f>
        <v>401600</v>
      </c>
      <c r="M70" s="8" t="n">
        <f aca="false">IF(B70=0,0,K70/B70)</f>
        <v>0.182545454545455</v>
      </c>
      <c r="N70" s="7" t="n">
        <f aca="false">K70/가정!$B$8</f>
        <v>18072</v>
      </c>
      <c r="O70" s="7" t="n">
        <f aca="false">IF(I70&gt;0,A70,"")</f>
        <v>66</v>
      </c>
      <c r="P70" s="7" t="n">
        <f aca="false">IF(L70&gt;=0,A70,"")</f>
        <v>66</v>
      </c>
      <c r="Q70" s="7" t="str">
        <f aca="false">IF(K70&gt;=가정!$B$28,A70,"")</f>
        <v/>
      </c>
      <c r="R70" s="7" t="str">
        <f aca="false">IF(MAX(0,I70)*(1-가정!$B$6)*'1억 상환'!$B$6&gt;='1억 상환'!$B$5,A70,"")</f>
        <v/>
      </c>
    </row>
    <row r="71" customFormat="false" ht="15" hidden="false" customHeight="false" outlineLevel="0" collapsed="false">
      <c r="A71" s="7" t="n">
        <v>67</v>
      </c>
      <c r="B71" s="7" t="n">
        <f aca="false">A71*가정!$B$10</f>
        <v>20100000</v>
      </c>
      <c r="C71" s="7" t="n">
        <f aca="false">가정!$B$30</f>
        <v>8600000</v>
      </c>
      <c r="D71" s="7" t="n">
        <f aca="false">ROUNDUP(MAX(0,A71-가정!$B$18)/가정!$B$19,0)</f>
        <v>2</v>
      </c>
      <c r="E71" s="7" t="n">
        <f aca="false">D71*가정!$B$20</f>
        <v>5600000</v>
      </c>
      <c r="F71" s="7" t="n">
        <f aca="false">A71*가정!$B$22+B71*가정!$B$23</f>
        <v>1608000</v>
      </c>
      <c r="G71" s="7" t="n">
        <f aca="false">B71*가정!$B$24</f>
        <v>0</v>
      </c>
      <c r="H71" s="7" t="n">
        <f aca="false">B71-C71-E71-F71-G71</f>
        <v>4292000</v>
      </c>
      <c r="I71" s="7" t="n">
        <f aca="false">H71-IF(가정!$B$7=1,가정!$B$5,0)</f>
        <v>4292000</v>
      </c>
      <c r="J71" s="7" t="n">
        <f aca="false">MAX(0,I71)*가정!$B$6</f>
        <v>3862800</v>
      </c>
      <c r="K71" s="7" t="n">
        <f aca="false">가정!$B$5+J71</f>
        <v>3862800</v>
      </c>
      <c r="L71" s="7" t="n">
        <f aca="false">H71-K71</f>
        <v>429200</v>
      </c>
      <c r="M71" s="8" t="n">
        <f aca="false">IF(B71=0,0,K71/B71)</f>
        <v>0.192179104477612</v>
      </c>
      <c r="N71" s="7" t="n">
        <f aca="false">K71/가정!$B$8</f>
        <v>19314</v>
      </c>
      <c r="O71" s="7" t="n">
        <f aca="false">IF(I71&gt;0,A71,"")</f>
        <v>67</v>
      </c>
      <c r="P71" s="7" t="n">
        <f aca="false">IF(L71&gt;=0,A71,"")</f>
        <v>67</v>
      </c>
      <c r="Q71" s="7" t="str">
        <f aca="false">IF(K71&gt;=가정!$B$28,A71,"")</f>
        <v/>
      </c>
      <c r="R71" s="7" t="str">
        <f aca="false">IF(MAX(0,I71)*(1-가정!$B$6)*'1억 상환'!$B$6&gt;='1억 상환'!$B$5,A71,"")</f>
        <v/>
      </c>
    </row>
    <row r="72" customFormat="false" ht="15" hidden="false" customHeight="false" outlineLevel="0" collapsed="false">
      <c r="A72" s="7" t="n">
        <v>68</v>
      </c>
      <c r="B72" s="7" t="n">
        <f aca="false">A72*가정!$B$10</f>
        <v>20400000</v>
      </c>
      <c r="C72" s="7" t="n">
        <f aca="false">가정!$B$30</f>
        <v>8600000</v>
      </c>
      <c r="D72" s="7" t="n">
        <f aca="false">ROUNDUP(MAX(0,A72-가정!$B$18)/가정!$B$19,0)</f>
        <v>2</v>
      </c>
      <c r="E72" s="7" t="n">
        <f aca="false">D72*가정!$B$20</f>
        <v>5600000</v>
      </c>
      <c r="F72" s="7" t="n">
        <f aca="false">A72*가정!$B$22+B72*가정!$B$23</f>
        <v>1632000</v>
      </c>
      <c r="G72" s="7" t="n">
        <f aca="false">B72*가정!$B$24</f>
        <v>0</v>
      </c>
      <c r="H72" s="7" t="n">
        <f aca="false">B72-C72-E72-F72-G72</f>
        <v>4568000</v>
      </c>
      <c r="I72" s="7" t="n">
        <f aca="false">H72-IF(가정!$B$7=1,가정!$B$5,0)</f>
        <v>4568000</v>
      </c>
      <c r="J72" s="7" t="n">
        <f aca="false">MAX(0,I72)*가정!$B$6</f>
        <v>4111200</v>
      </c>
      <c r="K72" s="7" t="n">
        <f aca="false">가정!$B$5+J72</f>
        <v>4111200</v>
      </c>
      <c r="L72" s="7" t="n">
        <f aca="false">H72-K72</f>
        <v>456800</v>
      </c>
      <c r="M72" s="8" t="n">
        <f aca="false">IF(B72=0,0,K72/B72)</f>
        <v>0.201529411764706</v>
      </c>
      <c r="N72" s="7" t="n">
        <f aca="false">K72/가정!$B$8</f>
        <v>20556</v>
      </c>
      <c r="O72" s="7" t="n">
        <f aca="false">IF(I72&gt;0,A72,"")</f>
        <v>68</v>
      </c>
      <c r="P72" s="7" t="n">
        <f aca="false">IF(L72&gt;=0,A72,"")</f>
        <v>68</v>
      </c>
      <c r="Q72" s="7" t="str">
        <f aca="false">IF(K72&gt;=가정!$B$28,A72,"")</f>
        <v/>
      </c>
      <c r="R72" s="7" t="str">
        <f aca="false">IF(MAX(0,I72)*(1-가정!$B$6)*'1억 상환'!$B$6&gt;='1억 상환'!$B$5,A72,"")</f>
        <v/>
      </c>
    </row>
    <row r="73" customFormat="false" ht="15" hidden="false" customHeight="false" outlineLevel="0" collapsed="false">
      <c r="A73" s="7" t="n">
        <v>69</v>
      </c>
      <c r="B73" s="7" t="n">
        <f aca="false">A73*가정!$B$10</f>
        <v>20700000</v>
      </c>
      <c r="C73" s="7" t="n">
        <f aca="false">가정!$B$30</f>
        <v>8600000</v>
      </c>
      <c r="D73" s="7" t="n">
        <f aca="false">ROUNDUP(MAX(0,A73-가정!$B$18)/가정!$B$19,0)</f>
        <v>2</v>
      </c>
      <c r="E73" s="7" t="n">
        <f aca="false">D73*가정!$B$20</f>
        <v>5600000</v>
      </c>
      <c r="F73" s="7" t="n">
        <f aca="false">A73*가정!$B$22+B73*가정!$B$23</f>
        <v>1656000</v>
      </c>
      <c r="G73" s="7" t="n">
        <f aca="false">B73*가정!$B$24</f>
        <v>0</v>
      </c>
      <c r="H73" s="7" t="n">
        <f aca="false">B73-C73-E73-F73-G73</f>
        <v>4844000</v>
      </c>
      <c r="I73" s="7" t="n">
        <f aca="false">H73-IF(가정!$B$7=1,가정!$B$5,0)</f>
        <v>4844000</v>
      </c>
      <c r="J73" s="7" t="n">
        <f aca="false">MAX(0,I73)*가정!$B$6</f>
        <v>4359600</v>
      </c>
      <c r="K73" s="7" t="n">
        <f aca="false">가정!$B$5+J73</f>
        <v>4359600</v>
      </c>
      <c r="L73" s="7" t="n">
        <f aca="false">H73-K73</f>
        <v>484400</v>
      </c>
      <c r="M73" s="8" t="n">
        <f aca="false">IF(B73=0,0,K73/B73)</f>
        <v>0.210608695652174</v>
      </c>
      <c r="N73" s="7" t="n">
        <f aca="false">K73/가정!$B$8</f>
        <v>21798</v>
      </c>
      <c r="O73" s="7" t="n">
        <f aca="false">IF(I73&gt;0,A73,"")</f>
        <v>69</v>
      </c>
      <c r="P73" s="7" t="n">
        <f aca="false">IF(L73&gt;=0,A73,"")</f>
        <v>69</v>
      </c>
      <c r="Q73" s="7" t="str">
        <f aca="false">IF(K73&gt;=가정!$B$28,A73,"")</f>
        <v/>
      </c>
      <c r="R73" s="7" t="str">
        <f aca="false">IF(MAX(0,I73)*(1-가정!$B$6)*'1억 상환'!$B$6&gt;='1억 상환'!$B$5,A73,"")</f>
        <v/>
      </c>
    </row>
    <row r="74" customFormat="false" ht="15" hidden="false" customHeight="false" outlineLevel="0" collapsed="false">
      <c r="A74" s="7" t="n">
        <v>70</v>
      </c>
      <c r="B74" s="7" t="n">
        <f aca="false">A74*가정!$B$10</f>
        <v>21000000</v>
      </c>
      <c r="C74" s="7" t="n">
        <f aca="false">가정!$B$30</f>
        <v>8600000</v>
      </c>
      <c r="D74" s="7" t="n">
        <f aca="false">ROUNDUP(MAX(0,A74-가정!$B$18)/가정!$B$19,0)</f>
        <v>2</v>
      </c>
      <c r="E74" s="7" t="n">
        <f aca="false">D74*가정!$B$20</f>
        <v>5600000</v>
      </c>
      <c r="F74" s="7" t="n">
        <f aca="false">A74*가정!$B$22+B74*가정!$B$23</f>
        <v>1680000</v>
      </c>
      <c r="G74" s="7" t="n">
        <f aca="false">B74*가정!$B$24</f>
        <v>0</v>
      </c>
      <c r="H74" s="7" t="n">
        <f aca="false">B74-C74-E74-F74-G74</f>
        <v>5120000</v>
      </c>
      <c r="I74" s="7" t="n">
        <f aca="false">H74-IF(가정!$B$7=1,가정!$B$5,0)</f>
        <v>5120000</v>
      </c>
      <c r="J74" s="7" t="n">
        <f aca="false">MAX(0,I74)*가정!$B$6</f>
        <v>4608000</v>
      </c>
      <c r="K74" s="7" t="n">
        <f aca="false">가정!$B$5+J74</f>
        <v>4608000</v>
      </c>
      <c r="L74" s="7" t="n">
        <f aca="false">H74-K74</f>
        <v>512000</v>
      </c>
      <c r="M74" s="8" t="n">
        <f aca="false">IF(B74=0,0,K74/B74)</f>
        <v>0.219428571428571</v>
      </c>
      <c r="N74" s="7" t="n">
        <f aca="false">K74/가정!$B$8</f>
        <v>23040</v>
      </c>
      <c r="O74" s="7" t="n">
        <f aca="false">IF(I74&gt;0,A74,"")</f>
        <v>70</v>
      </c>
      <c r="P74" s="7" t="n">
        <f aca="false">IF(L74&gt;=0,A74,"")</f>
        <v>70</v>
      </c>
      <c r="Q74" s="7" t="str">
        <f aca="false">IF(K74&gt;=가정!$B$28,A74,"")</f>
        <v/>
      </c>
      <c r="R74" s="7" t="str">
        <f aca="false">IF(MAX(0,I74)*(1-가정!$B$6)*'1억 상환'!$B$6&gt;='1억 상환'!$B$5,A74,"")</f>
        <v/>
      </c>
    </row>
    <row r="75" customFormat="false" ht="15" hidden="false" customHeight="false" outlineLevel="0" collapsed="false">
      <c r="A75" s="7" t="n">
        <v>71</v>
      </c>
      <c r="B75" s="7" t="n">
        <f aca="false">A75*가정!$B$10</f>
        <v>21300000</v>
      </c>
      <c r="C75" s="7" t="n">
        <f aca="false">가정!$B$30</f>
        <v>8600000</v>
      </c>
      <c r="D75" s="7" t="n">
        <f aca="false">ROUNDUP(MAX(0,A75-가정!$B$18)/가정!$B$19,0)</f>
        <v>2</v>
      </c>
      <c r="E75" s="7" t="n">
        <f aca="false">D75*가정!$B$20</f>
        <v>5600000</v>
      </c>
      <c r="F75" s="7" t="n">
        <f aca="false">A75*가정!$B$22+B75*가정!$B$23</f>
        <v>1704000</v>
      </c>
      <c r="G75" s="7" t="n">
        <f aca="false">B75*가정!$B$24</f>
        <v>0</v>
      </c>
      <c r="H75" s="7" t="n">
        <f aca="false">B75-C75-E75-F75-G75</f>
        <v>5396000</v>
      </c>
      <c r="I75" s="7" t="n">
        <f aca="false">H75-IF(가정!$B$7=1,가정!$B$5,0)</f>
        <v>5396000</v>
      </c>
      <c r="J75" s="7" t="n">
        <f aca="false">MAX(0,I75)*가정!$B$6</f>
        <v>4856400</v>
      </c>
      <c r="K75" s="7" t="n">
        <f aca="false">가정!$B$5+J75</f>
        <v>4856400</v>
      </c>
      <c r="L75" s="7" t="n">
        <f aca="false">H75-K75</f>
        <v>539600</v>
      </c>
      <c r="M75" s="8" t="n">
        <f aca="false">IF(B75=0,0,K75/B75)</f>
        <v>0.228</v>
      </c>
      <c r="N75" s="7" t="n">
        <f aca="false">K75/가정!$B$8</f>
        <v>24282</v>
      </c>
      <c r="O75" s="7" t="n">
        <f aca="false">IF(I75&gt;0,A75,"")</f>
        <v>71</v>
      </c>
      <c r="P75" s="7" t="n">
        <f aca="false">IF(L75&gt;=0,A75,"")</f>
        <v>71</v>
      </c>
      <c r="Q75" s="7" t="str">
        <f aca="false">IF(K75&gt;=가정!$B$28,A75,"")</f>
        <v/>
      </c>
      <c r="R75" s="7" t="str">
        <f aca="false">IF(MAX(0,I75)*(1-가정!$B$6)*'1억 상환'!$B$6&gt;='1억 상환'!$B$5,A75,"")</f>
        <v/>
      </c>
    </row>
    <row r="76" customFormat="false" ht="15" hidden="false" customHeight="false" outlineLevel="0" collapsed="false">
      <c r="A76" s="7" t="n">
        <v>72</v>
      </c>
      <c r="B76" s="7" t="n">
        <f aca="false">A76*가정!$B$10</f>
        <v>21600000</v>
      </c>
      <c r="C76" s="7" t="n">
        <f aca="false">가정!$B$30</f>
        <v>8600000</v>
      </c>
      <c r="D76" s="7" t="n">
        <f aca="false">ROUNDUP(MAX(0,A76-가정!$B$18)/가정!$B$19,0)</f>
        <v>2</v>
      </c>
      <c r="E76" s="7" t="n">
        <f aca="false">D76*가정!$B$20</f>
        <v>5600000</v>
      </c>
      <c r="F76" s="7" t="n">
        <f aca="false">A76*가정!$B$22+B76*가정!$B$23</f>
        <v>1728000</v>
      </c>
      <c r="G76" s="7" t="n">
        <f aca="false">B76*가정!$B$24</f>
        <v>0</v>
      </c>
      <c r="H76" s="7" t="n">
        <f aca="false">B76-C76-E76-F76-G76</f>
        <v>5672000</v>
      </c>
      <c r="I76" s="7" t="n">
        <f aca="false">H76-IF(가정!$B$7=1,가정!$B$5,0)</f>
        <v>5672000</v>
      </c>
      <c r="J76" s="7" t="n">
        <f aca="false">MAX(0,I76)*가정!$B$6</f>
        <v>5104800</v>
      </c>
      <c r="K76" s="7" t="n">
        <f aca="false">가정!$B$5+J76</f>
        <v>5104800</v>
      </c>
      <c r="L76" s="7" t="n">
        <f aca="false">H76-K76</f>
        <v>567200</v>
      </c>
      <c r="M76" s="8" t="n">
        <f aca="false">IF(B76=0,0,K76/B76)</f>
        <v>0.236333333333333</v>
      </c>
      <c r="N76" s="7" t="n">
        <f aca="false">K76/가정!$B$8</f>
        <v>25524</v>
      </c>
      <c r="O76" s="7" t="n">
        <f aca="false">IF(I76&gt;0,A76,"")</f>
        <v>72</v>
      </c>
      <c r="P76" s="7" t="n">
        <f aca="false">IF(L76&gt;=0,A76,"")</f>
        <v>72</v>
      </c>
      <c r="Q76" s="7" t="str">
        <f aca="false">IF(K76&gt;=가정!$B$28,A76,"")</f>
        <v/>
      </c>
      <c r="R76" s="7" t="str">
        <f aca="false">IF(MAX(0,I76)*(1-가정!$B$6)*'1억 상환'!$B$6&gt;='1억 상환'!$B$5,A76,"")</f>
        <v/>
      </c>
    </row>
    <row r="77" customFormat="false" ht="15" hidden="false" customHeight="false" outlineLevel="0" collapsed="false">
      <c r="A77" s="7" t="n">
        <v>73</v>
      </c>
      <c r="B77" s="7" t="n">
        <f aca="false">A77*가정!$B$10</f>
        <v>21900000</v>
      </c>
      <c r="C77" s="7" t="n">
        <f aca="false">가정!$B$30</f>
        <v>8600000</v>
      </c>
      <c r="D77" s="7" t="n">
        <f aca="false">ROUNDUP(MAX(0,A77-가정!$B$18)/가정!$B$19,0)</f>
        <v>2</v>
      </c>
      <c r="E77" s="7" t="n">
        <f aca="false">D77*가정!$B$20</f>
        <v>5600000</v>
      </c>
      <c r="F77" s="7" t="n">
        <f aca="false">A77*가정!$B$22+B77*가정!$B$23</f>
        <v>1752000</v>
      </c>
      <c r="G77" s="7" t="n">
        <f aca="false">B77*가정!$B$24</f>
        <v>0</v>
      </c>
      <c r="H77" s="7" t="n">
        <f aca="false">B77-C77-E77-F77-G77</f>
        <v>5948000</v>
      </c>
      <c r="I77" s="7" t="n">
        <f aca="false">H77-IF(가정!$B$7=1,가정!$B$5,0)</f>
        <v>5948000</v>
      </c>
      <c r="J77" s="7" t="n">
        <f aca="false">MAX(0,I77)*가정!$B$6</f>
        <v>5353200</v>
      </c>
      <c r="K77" s="7" t="n">
        <f aca="false">가정!$B$5+J77</f>
        <v>5353200</v>
      </c>
      <c r="L77" s="7" t="n">
        <f aca="false">H77-K77</f>
        <v>594800</v>
      </c>
      <c r="M77" s="8" t="n">
        <f aca="false">IF(B77=0,0,K77/B77)</f>
        <v>0.244438356164384</v>
      </c>
      <c r="N77" s="7" t="n">
        <f aca="false">K77/가정!$B$8</f>
        <v>26766</v>
      </c>
      <c r="O77" s="7" t="n">
        <f aca="false">IF(I77&gt;0,A77,"")</f>
        <v>73</v>
      </c>
      <c r="P77" s="7" t="n">
        <f aca="false">IF(L77&gt;=0,A77,"")</f>
        <v>73</v>
      </c>
      <c r="Q77" s="7" t="str">
        <f aca="false">IF(K77&gt;=가정!$B$28,A77,"")</f>
        <v/>
      </c>
      <c r="R77" s="7" t="str">
        <f aca="false">IF(MAX(0,I77)*(1-가정!$B$6)*'1억 상환'!$B$6&gt;='1억 상환'!$B$5,A77,"")</f>
        <v/>
      </c>
    </row>
    <row r="78" customFormat="false" ht="15" hidden="false" customHeight="false" outlineLevel="0" collapsed="false">
      <c r="A78" s="7" t="n">
        <v>74</v>
      </c>
      <c r="B78" s="7" t="n">
        <f aca="false">A78*가정!$B$10</f>
        <v>22200000</v>
      </c>
      <c r="C78" s="7" t="n">
        <f aca="false">가정!$B$30</f>
        <v>8600000</v>
      </c>
      <c r="D78" s="7" t="n">
        <f aca="false">ROUNDUP(MAX(0,A78-가정!$B$18)/가정!$B$19,0)</f>
        <v>2</v>
      </c>
      <c r="E78" s="7" t="n">
        <f aca="false">D78*가정!$B$20</f>
        <v>5600000</v>
      </c>
      <c r="F78" s="7" t="n">
        <f aca="false">A78*가정!$B$22+B78*가정!$B$23</f>
        <v>1776000</v>
      </c>
      <c r="G78" s="7" t="n">
        <f aca="false">B78*가정!$B$24</f>
        <v>0</v>
      </c>
      <c r="H78" s="7" t="n">
        <f aca="false">B78-C78-E78-F78-G78</f>
        <v>6224000</v>
      </c>
      <c r="I78" s="7" t="n">
        <f aca="false">H78-IF(가정!$B$7=1,가정!$B$5,0)</f>
        <v>6224000</v>
      </c>
      <c r="J78" s="7" t="n">
        <f aca="false">MAX(0,I78)*가정!$B$6</f>
        <v>5601600</v>
      </c>
      <c r="K78" s="7" t="n">
        <f aca="false">가정!$B$5+J78</f>
        <v>5601600</v>
      </c>
      <c r="L78" s="7" t="n">
        <f aca="false">H78-K78</f>
        <v>622400</v>
      </c>
      <c r="M78" s="8" t="n">
        <f aca="false">IF(B78=0,0,K78/B78)</f>
        <v>0.252324324324324</v>
      </c>
      <c r="N78" s="7" t="n">
        <f aca="false">K78/가정!$B$8</f>
        <v>28008</v>
      </c>
      <c r="O78" s="7" t="n">
        <f aca="false">IF(I78&gt;0,A78,"")</f>
        <v>74</v>
      </c>
      <c r="P78" s="7" t="n">
        <f aca="false">IF(L78&gt;=0,A78,"")</f>
        <v>74</v>
      </c>
      <c r="Q78" s="7" t="str">
        <f aca="false">IF(K78&gt;=가정!$B$28,A78,"")</f>
        <v/>
      </c>
      <c r="R78" s="7" t="str">
        <f aca="false">IF(MAX(0,I78)*(1-가정!$B$6)*'1억 상환'!$B$6&gt;='1억 상환'!$B$5,A78,"")</f>
        <v/>
      </c>
    </row>
    <row r="79" customFormat="false" ht="15" hidden="false" customHeight="false" outlineLevel="0" collapsed="false">
      <c r="A79" s="7" t="n">
        <v>75</v>
      </c>
      <c r="B79" s="7" t="n">
        <f aca="false">A79*가정!$B$10</f>
        <v>22500000</v>
      </c>
      <c r="C79" s="7" t="n">
        <f aca="false">가정!$B$30</f>
        <v>8600000</v>
      </c>
      <c r="D79" s="7" t="n">
        <f aca="false">ROUNDUP(MAX(0,A79-가정!$B$18)/가정!$B$19,0)</f>
        <v>2</v>
      </c>
      <c r="E79" s="7" t="n">
        <f aca="false">D79*가정!$B$20</f>
        <v>5600000</v>
      </c>
      <c r="F79" s="7" t="n">
        <f aca="false">A79*가정!$B$22+B79*가정!$B$23</f>
        <v>1800000</v>
      </c>
      <c r="G79" s="7" t="n">
        <f aca="false">B79*가정!$B$24</f>
        <v>0</v>
      </c>
      <c r="H79" s="7" t="n">
        <f aca="false">B79-C79-E79-F79-G79</f>
        <v>6500000</v>
      </c>
      <c r="I79" s="7" t="n">
        <f aca="false">H79-IF(가정!$B$7=1,가정!$B$5,0)</f>
        <v>6500000</v>
      </c>
      <c r="J79" s="7" t="n">
        <f aca="false">MAX(0,I79)*가정!$B$6</f>
        <v>5850000</v>
      </c>
      <c r="K79" s="7" t="n">
        <f aca="false">가정!$B$5+J79</f>
        <v>5850000</v>
      </c>
      <c r="L79" s="7" t="n">
        <f aca="false">H79-K79</f>
        <v>650000</v>
      </c>
      <c r="M79" s="8" t="n">
        <f aca="false">IF(B79=0,0,K79/B79)</f>
        <v>0.26</v>
      </c>
      <c r="N79" s="7" t="n">
        <f aca="false">K79/가정!$B$8</f>
        <v>29250</v>
      </c>
      <c r="O79" s="7" t="n">
        <f aca="false">IF(I79&gt;0,A79,"")</f>
        <v>75</v>
      </c>
      <c r="P79" s="7" t="n">
        <f aca="false">IF(L79&gt;=0,A79,"")</f>
        <v>75</v>
      </c>
      <c r="Q79" s="7" t="str">
        <f aca="false">IF(K79&gt;=가정!$B$28,A79,"")</f>
        <v/>
      </c>
      <c r="R79" s="7" t="str">
        <f aca="false">IF(MAX(0,I79)*(1-가정!$B$6)*'1억 상환'!$B$6&gt;='1억 상환'!$B$5,A79,"")</f>
        <v/>
      </c>
    </row>
    <row r="80" customFormat="false" ht="15" hidden="false" customHeight="false" outlineLevel="0" collapsed="false">
      <c r="A80" s="7" t="n">
        <v>76</v>
      </c>
      <c r="B80" s="7" t="n">
        <f aca="false">A80*가정!$B$10</f>
        <v>22800000</v>
      </c>
      <c r="C80" s="7" t="n">
        <f aca="false">가정!$B$30</f>
        <v>8600000</v>
      </c>
      <c r="D80" s="7" t="n">
        <f aca="false">ROUNDUP(MAX(0,A80-가정!$B$18)/가정!$B$19,0)</f>
        <v>2</v>
      </c>
      <c r="E80" s="7" t="n">
        <f aca="false">D80*가정!$B$20</f>
        <v>5600000</v>
      </c>
      <c r="F80" s="7" t="n">
        <f aca="false">A80*가정!$B$22+B80*가정!$B$23</f>
        <v>1824000</v>
      </c>
      <c r="G80" s="7" t="n">
        <f aca="false">B80*가정!$B$24</f>
        <v>0</v>
      </c>
      <c r="H80" s="7" t="n">
        <f aca="false">B80-C80-E80-F80-G80</f>
        <v>6776000</v>
      </c>
      <c r="I80" s="7" t="n">
        <f aca="false">H80-IF(가정!$B$7=1,가정!$B$5,0)</f>
        <v>6776000</v>
      </c>
      <c r="J80" s="7" t="n">
        <f aca="false">MAX(0,I80)*가정!$B$6</f>
        <v>6098400</v>
      </c>
      <c r="K80" s="7" t="n">
        <f aca="false">가정!$B$5+J80</f>
        <v>6098400</v>
      </c>
      <c r="L80" s="7" t="n">
        <f aca="false">H80-K80</f>
        <v>677600</v>
      </c>
      <c r="M80" s="8" t="n">
        <f aca="false">IF(B80=0,0,K80/B80)</f>
        <v>0.267473684210526</v>
      </c>
      <c r="N80" s="7" t="n">
        <f aca="false">K80/가정!$B$8</f>
        <v>30492</v>
      </c>
      <c r="O80" s="7" t="n">
        <f aca="false">IF(I80&gt;0,A80,"")</f>
        <v>76</v>
      </c>
      <c r="P80" s="7" t="n">
        <f aca="false">IF(L80&gt;=0,A80,"")</f>
        <v>76</v>
      </c>
      <c r="Q80" s="7" t="n">
        <f aca="false">IF(K80&gt;=가정!$B$28,A80,"")</f>
        <v>76</v>
      </c>
      <c r="R80" s="7" t="str">
        <f aca="false">IF(MAX(0,I80)*(1-가정!$B$6)*'1억 상환'!$B$6&gt;='1억 상환'!$B$5,A80,"")</f>
        <v/>
      </c>
    </row>
    <row r="81" customFormat="false" ht="15" hidden="false" customHeight="false" outlineLevel="0" collapsed="false">
      <c r="A81" s="7" t="n">
        <v>77</v>
      </c>
      <c r="B81" s="7" t="n">
        <f aca="false">A81*가정!$B$10</f>
        <v>23100000</v>
      </c>
      <c r="C81" s="7" t="n">
        <f aca="false">가정!$B$30</f>
        <v>8600000</v>
      </c>
      <c r="D81" s="7" t="n">
        <f aca="false">ROUNDUP(MAX(0,A81-가정!$B$18)/가정!$B$19,0)</f>
        <v>2</v>
      </c>
      <c r="E81" s="7" t="n">
        <f aca="false">D81*가정!$B$20</f>
        <v>5600000</v>
      </c>
      <c r="F81" s="7" t="n">
        <f aca="false">A81*가정!$B$22+B81*가정!$B$23</f>
        <v>1848000</v>
      </c>
      <c r="G81" s="7" t="n">
        <f aca="false">B81*가정!$B$24</f>
        <v>0</v>
      </c>
      <c r="H81" s="7" t="n">
        <f aca="false">B81-C81-E81-F81-G81</f>
        <v>7052000</v>
      </c>
      <c r="I81" s="7" t="n">
        <f aca="false">H81-IF(가정!$B$7=1,가정!$B$5,0)</f>
        <v>7052000</v>
      </c>
      <c r="J81" s="7" t="n">
        <f aca="false">MAX(0,I81)*가정!$B$6</f>
        <v>6346800</v>
      </c>
      <c r="K81" s="7" t="n">
        <f aca="false">가정!$B$5+J81</f>
        <v>6346800</v>
      </c>
      <c r="L81" s="7" t="n">
        <f aca="false">H81-K81</f>
        <v>705200</v>
      </c>
      <c r="M81" s="8" t="n">
        <f aca="false">IF(B81=0,0,K81/B81)</f>
        <v>0.274753246753247</v>
      </c>
      <c r="N81" s="7" t="n">
        <f aca="false">K81/가정!$B$8</f>
        <v>31734</v>
      </c>
      <c r="O81" s="7" t="n">
        <f aca="false">IF(I81&gt;0,A81,"")</f>
        <v>77</v>
      </c>
      <c r="P81" s="7" t="n">
        <f aca="false">IF(L81&gt;=0,A81,"")</f>
        <v>77</v>
      </c>
      <c r="Q81" s="7" t="n">
        <f aca="false">IF(K81&gt;=가정!$B$28,A81,"")</f>
        <v>77</v>
      </c>
      <c r="R81" s="7" t="str">
        <f aca="false">IF(MAX(0,I81)*(1-가정!$B$6)*'1억 상환'!$B$6&gt;='1억 상환'!$B$5,A81,"")</f>
        <v/>
      </c>
    </row>
    <row r="82" customFormat="false" ht="15" hidden="false" customHeight="false" outlineLevel="0" collapsed="false">
      <c r="A82" s="7" t="n">
        <v>78</v>
      </c>
      <c r="B82" s="7" t="n">
        <f aca="false">A82*가정!$B$10</f>
        <v>23400000</v>
      </c>
      <c r="C82" s="7" t="n">
        <f aca="false">가정!$B$30</f>
        <v>8600000</v>
      </c>
      <c r="D82" s="7" t="n">
        <f aca="false">ROUNDUP(MAX(0,A82-가정!$B$18)/가정!$B$19,0)</f>
        <v>2</v>
      </c>
      <c r="E82" s="7" t="n">
        <f aca="false">D82*가정!$B$20</f>
        <v>5600000</v>
      </c>
      <c r="F82" s="7" t="n">
        <f aca="false">A82*가정!$B$22+B82*가정!$B$23</f>
        <v>1872000</v>
      </c>
      <c r="G82" s="7" t="n">
        <f aca="false">B82*가정!$B$24</f>
        <v>0</v>
      </c>
      <c r="H82" s="7" t="n">
        <f aca="false">B82-C82-E82-F82-G82</f>
        <v>7328000</v>
      </c>
      <c r="I82" s="7" t="n">
        <f aca="false">H82-IF(가정!$B$7=1,가정!$B$5,0)</f>
        <v>7328000</v>
      </c>
      <c r="J82" s="7" t="n">
        <f aca="false">MAX(0,I82)*가정!$B$6</f>
        <v>6595200</v>
      </c>
      <c r="K82" s="7" t="n">
        <f aca="false">가정!$B$5+J82</f>
        <v>6595200</v>
      </c>
      <c r="L82" s="7" t="n">
        <f aca="false">H82-K82</f>
        <v>732800</v>
      </c>
      <c r="M82" s="8" t="n">
        <f aca="false">IF(B82=0,0,K82/B82)</f>
        <v>0.281846153846154</v>
      </c>
      <c r="N82" s="7" t="n">
        <f aca="false">K82/가정!$B$8</f>
        <v>32976</v>
      </c>
      <c r="O82" s="7" t="n">
        <f aca="false">IF(I82&gt;0,A82,"")</f>
        <v>78</v>
      </c>
      <c r="P82" s="7" t="n">
        <f aca="false">IF(L82&gt;=0,A82,"")</f>
        <v>78</v>
      </c>
      <c r="Q82" s="7" t="n">
        <f aca="false">IF(K82&gt;=가정!$B$28,A82,"")</f>
        <v>78</v>
      </c>
      <c r="R82" s="7" t="str">
        <f aca="false">IF(MAX(0,I82)*(1-가정!$B$6)*'1억 상환'!$B$6&gt;='1억 상환'!$B$5,A82,"")</f>
        <v/>
      </c>
    </row>
    <row r="83" customFormat="false" ht="15" hidden="false" customHeight="false" outlineLevel="0" collapsed="false">
      <c r="A83" s="7" t="n">
        <v>79</v>
      </c>
      <c r="B83" s="7" t="n">
        <f aca="false">A83*가정!$B$10</f>
        <v>23700000</v>
      </c>
      <c r="C83" s="7" t="n">
        <f aca="false">가정!$B$30</f>
        <v>8600000</v>
      </c>
      <c r="D83" s="7" t="n">
        <f aca="false">ROUNDUP(MAX(0,A83-가정!$B$18)/가정!$B$19,0)</f>
        <v>2</v>
      </c>
      <c r="E83" s="7" t="n">
        <f aca="false">D83*가정!$B$20</f>
        <v>5600000</v>
      </c>
      <c r="F83" s="7" t="n">
        <f aca="false">A83*가정!$B$22+B83*가정!$B$23</f>
        <v>1896000</v>
      </c>
      <c r="G83" s="7" t="n">
        <f aca="false">B83*가정!$B$24</f>
        <v>0</v>
      </c>
      <c r="H83" s="7" t="n">
        <f aca="false">B83-C83-E83-F83-G83</f>
        <v>7604000</v>
      </c>
      <c r="I83" s="7" t="n">
        <f aca="false">H83-IF(가정!$B$7=1,가정!$B$5,0)</f>
        <v>7604000</v>
      </c>
      <c r="J83" s="7" t="n">
        <f aca="false">MAX(0,I83)*가정!$B$6</f>
        <v>6843600</v>
      </c>
      <c r="K83" s="7" t="n">
        <f aca="false">가정!$B$5+J83</f>
        <v>6843600</v>
      </c>
      <c r="L83" s="7" t="n">
        <f aca="false">H83-K83</f>
        <v>760400</v>
      </c>
      <c r="M83" s="8" t="n">
        <f aca="false">IF(B83=0,0,K83/B83)</f>
        <v>0.288759493670886</v>
      </c>
      <c r="N83" s="7" t="n">
        <f aca="false">K83/가정!$B$8</f>
        <v>34218</v>
      </c>
      <c r="O83" s="7" t="n">
        <f aca="false">IF(I83&gt;0,A83,"")</f>
        <v>79</v>
      </c>
      <c r="P83" s="7" t="n">
        <f aca="false">IF(L83&gt;=0,A83,"")</f>
        <v>79</v>
      </c>
      <c r="Q83" s="7" t="n">
        <f aca="false">IF(K83&gt;=가정!$B$28,A83,"")</f>
        <v>79</v>
      </c>
      <c r="R83" s="7" t="str">
        <f aca="false">IF(MAX(0,I83)*(1-가정!$B$6)*'1억 상환'!$B$6&gt;='1억 상환'!$B$5,A83,"")</f>
        <v/>
      </c>
    </row>
    <row r="84" customFormat="false" ht="15" hidden="false" customHeight="false" outlineLevel="0" collapsed="false">
      <c r="A84" s="7" t="n">
        <v>80</v>
      </c>
      <c r="B84" s="7" t="n">
        <f aca="false">A84*가정!$B$10</f>
        <v>24000000</v>
      </c>
      <c r="C84" s="7" t="n">
        <f aca="false">가정!$B$30</f>
        <v>8600000</v>
      </c>
      <c r="D84" s="7" t="n">
        <f aca="false">ROUNDUP(MAX(0,A84-가정!$B$18)/가정!$B$19,0)</f>
        <v>2</v>
      </c>
      <c r="E84" s="7" t="n">
        <f aca="false">D84*가정!$B$20</f>
        <v>5600000</v>
      </c>
      <c r="F84" s="7" t="n">
        <f aca="false">A84*가정!$B$22+B84*가정!$B$23</f>
        <v>1920000</v>
      </c>
      <c r="G84" s="7" t="n">
        <f aca="false">B84*가정!$B$24</f>
        <v>0</v>
      </c>
      <c r="H84" s="7" t="n">
        <f aca="false">B84-C84-E84-F84-G84</f>
        <v>7880000</v>
      </c>
      <c r="I84" s="7" t="n">
        <f aca="false">H84-IF(가정!$B$7=1,가정!$B$5,0)</f>
        <v>7880000</v>
      </c>
      <c r="J84" s="7" t="n">
        <f aca="false">MAX(0,I84)*가정!$B$6</f>
        <v>7092000</v>
      </c>
      <c r="K84" s="7" t="n">
        <f aca="false">가정!$B$5+J84</f>
        <v>7092000</v>
      </c>
      <c r="L84" s="7" t="n">
        <f aca="false">H84-K84</f>
        <v>788000</v>
      </c>
      <c r="M84" s="8" t="n">
        <f aca="false">IF(B84=0,0,K84/B84)</f>
        <v>0.2955</v>
      </c>
      <c r="N84" s="7" t="n">
        <f aca="false">K84/가정!$B$8</f>
        <v>35460</v>
      </c>
      <c r="O84" s="7" t="n">
        <f aca="false">IF(I84&gt;0,A84,"")</f>
        <v>80</v>
      </c>
      <c r="P84" s="7" t="n">
        <f aca="false">IF(L84&gt;=0,A84,"")</f>
        <v>80</v>
      </c>
      <c r="Q84" s="7" t="n">
        <f aca="false">IF(K84&gt;=가정!$B$28,A84,"")</f>
        <v>80</v>
      </c>
      <c r="R84" s="7" t="str">
        <f aca="false">IF(MAX(0,I84)*(1-가정!$B$6)*'1억 상환'!$B$6&gt;='1억 상환'!$B$5,A84,"")</f>
        <v/>
      </c>
    </row>
    <row r="85" customFormat="false" ht="15" hidden="false" customHeight="false" outlineLevel="0" collapsed="false">
      <c r="A85" s="7" t="n">
        <v>81</v>
      </c>
      <c r="B85" s="7" t="n">
        <f aca="false">A85*가정!$B$10</f>
        <v>24300000</v>
      </c>
      <c r="C85" s="7" t="n">
        <f aca="false">가정!$B$30</f>
        <v>8600000</v>
      </c>
      <c r="D85" s="7" t="n">
        <f aca="false">ROUNDUP(MAX(0,A85-가정!$B$18)/가정!$B$19,0)</f>
        <v>3</v>
      </c>
      <c r="E85" s="7" t="n">
        <f aca="false">D85*가정!$B$20</f>
        <v>8400000</v>
      </c>
      <c r="F85" s="7" t="n">
        <f aca="false">A85*가정!$B$22+B85*가정!$B$23</f>
        <v>1944000</v>
      </c>
      <c r="G85" s="7" t="n">
        <f aca="false">B85*가정!$B$24</f>
        <v>0</v>
      </c>
      <c r="H85" s="7" t="n">
        <f aca="false">B85-C85-E85-F85-G85</f>
        <v>5356000</v>
      </c>
      <c r="I85" s="7" t="n">
        <f aca="false">H85-IF(가정!$B$7=1,가정!$B$5,0)</f>
        <v>5356000</v>
      </c>
      <c r="J85" s="7" t="n">
        <f aca="false">MAX(0,I85)*가정!$B$6</f>
        <v>4820400</v>
      </c>
      <c r="K85" s="7" t="n">
        <f aca="false">가정!$B$5+J85</f>
        <v>4820400</v>
      </c>
      <c r="L85" s="7" t="n">
        <f aca="false">H85-K85</f>
        <v>535600</v>
      </c>
      <c r="M85" s="8" t="n">
        <f aca="false">IF(B85=0,0,K85/B85)</f>
        <v>0.19837037037037</v>
      </c>
      <c r="N85" s="7" t="n">
        <f aca="false">K85/가정!$B$8</f>
        <v>24102</v>
      </c>
      <c r="O85" s="7" t="n">
        <f aca="false">IF(I85&gt;0,A85,"")</f>
        <v>81</v>
      </c>
      <c r="P85" s="7" t="n">
        <f aca="false">IF(L85&gt;=0,A85,"")</f>
        <v>81</v>
      </c>
      <c r="Q85" s="7" t="str">
        <f aca="false">IF(K85&gt;=가정!$B$28,A85,"")</f>
        <v/>
      </c>
      <c r="R85" s="7" t="str">
        <f aca="false">IF(MAX(0,I85)*(1-가정!$B$6)*'1억 상환'!$B$6&gt;='1억 상환'!$B$5,A85,"")</f>
        <v/>
      </c>
    </row>
    <row r="86" customFormat="false" ht="15" hidden="false" customHeight="false" outlineLevel="0" collapsed="false">
      <c r="A86" s="7" t="n">
        <v>82</v>
      </c>
      <c r="B86" s="7" t="n">
        <f aca="false">A86*가정!$B$10</f>
        <v>24600000</v>
      </c>
      <c r="C86" s="7" t="n">
        <f aca="false">가정!$B$30</f>
        <v>8600000</v>
      </c>
      <c r="D86" s="7" t="n">
        <f aca="false">ROUNDUP(MAX(0,A86-가정!$B$18)/가정!$B$19,0)</f>
        <v>3</v>
      </c>
      <c r="E86" s="7" t="n">
        <f aca="false">D86*가정!$B$20</f>
        <v>8400000</v>
      </c>
      <c r="F86" s="7" t="n">
        <f aca="false">A86*가정!$B$22+B86*가정!$B$23</f>
        <v>1968000</v>
      </c>
      <c r="G86" s="7" t="n">
        <f aca="false">B86*가정!$B$24</f>
        <v>0</v>
      </c>
      <c r="H86" s="7" t="n">
        <f aca="false">B86-C86-E86-F86-G86</f>
        <v>5632000</v>
      </c>
      <c r="I86" s="7" t="n">
        <f aca="false">H86-IF(가정!$B$7=1,가정!$B$5,0)</f>
        <v>5632000</v>
      </c>
      <c r="J86" s="7" t="n">
        <f aca="false">MAX(0,I86)*가정!$B$6</f>
        <v>5068800</v>
      </c>
      <c r="K86" s="7" t="n">
        <f aca="false">가정!$B$5+J86</f>
        <v>5068800</v>
      </c>
      <c r="L86" s="7" t="n">
        <f aca="false">H86-K86</f>
        <v>563200</v>
      </c>
      <c r="M86" s="8" t="n">
        <f aca="false">IF(B86=0,0,K86/B86)</f>
        <v>0.206048780487805</v>
      </c>
      <c r="N86" s="7" t="n">
        <f aca="false">K86/가정!$B$8</f>
        <v>25344</v>
      </c>
      <c r="O86" s="7" t="n">
        <f aca="false">IF(I86&gt;0,A86,"")</f>
        <v>82</v>
      </c>
      <c r="P86" s="7" t="n">
        <f aca="false">IF(L86&gt;=0,A86,"")</f>
        <v>82</v>
      </c>
      <c r="Q86" s="7" t="str">
        <f aca="false">IF(K86&gt;=가정!$B$28,A86,"")</f>
        <v/>
      </c>
      <c r="R86" s="7" t="str">
        <f aca="false">IF(MAX(0,I86)*(1-가정!$B$6)*'1억 상환'!$B$6&gt;='1억 상환'!$B$5,A86,"")</f>
        <v/>
      </c>
    </row>
    <row r="87" customFormat="false" ht="15" hidden="false" customHeight="false" outlineLevel="0" collapsed="false">
      <c r="A87" s="7" t="n">
        <v>83</v>
      </c>
      <c r="B87" s="7" t="n">
        <f aca="false">A87*가정!$B$10</f>
        <v>24900000</v>
      </c>
      <c r="C87" s="7" t="n">
        <f aca="false">가정!$B$30</f>
        <v>8600000</v>
      </c>
      <c r="D87" s="7" t="n">
        <f aca="false">ROUNDUP(MAX(0,A87-가정!$B$18)/가정!$B$19,0)</f>
        <v>3</v>
      </c>
      <c r="E87" s="7" t="n">
        <f aca="false">D87*가정!$B$20</f>
        <v>8400000</v>
      </c>
      <c r="F87" s="7" t="n">
        <f aca="false">A87*가정!$B$22+B87*가정!$B$23</f>
        <v>1992000</v>
      </c>
      <c r="G87" s="7" t="n">
        <f aca="false">B87*가정!$B$24</f>
        <v>0</v>
      </c>
      <c r="H87" s="7" t="n">
        <f aca="false">B87-C87-E87-F87-G87</f>
        <v>5908000</v>
      </c>
      <c r="I87" s="7" t="n">
        <f aca="false">H87-IF(가정!$B$7=1,가정!$B$5,0)</f>
        <v>5908000</v>
      </c>
      <c r="J87" s="7" t="n">
        <f aca="false">MAX(0,I87)*가정!$B$6</f>
        <v>5317200</v>
      </c>
      <c r="K87" s="7" t="n">
        <f aca="false">가정!$B$5+J87</f>
        <v>5317200</v>
      </c>
      <c r="L87" s="7" t="n">
        <f aca="false">H87-K87</f>
        <v>590800</v>
      </c>
      <c r="M87" s="8" t="n">
        <f aca="false">IF(B87=0,0,K87/B87)</f>
        <v>0.213542168674699</v>
      </c>
      <c r="N87" s="7" t="n">
        <f aca="false">K87/가정!$B$8</f>
        <v>26586</v>
      </c>
      <c r="O87" s="7" t="n">
        <f aca="false">IF(I87&gt;0,A87,"")</f>
        <v>83</v>
      </c>
      <c r="P87" s="7" t="n">
        <f aca="false">IF(L87&gt;=0,A87,"")</f>
        <v>83</v>
      </c>
      <c r="Q87" s="7" t="str">
        <f aca="false">IF(K87&gt;=가정!$B$28,A87,"")</f>
        <v/>
      </c>
      <c r="R87" s="7" t="str">
        <f aca="false">IF(MAX(0,I87)*(1-가정!$B$6)*'1억 상환'!$B$6&gt;='1억 상환'!$B$5,A87,"")</f>
        <v/>
      </c>
    </row>
    <row r="88" customFormat="false" ht="15" hidden="false" customHeight="false" outlineLevel="0" collapsed="false">
      <c r="A88" s="7" t="n">
        <v>84</v>
      </c>
      <c r="B88" s="7" t="n">
        <f aca="false">A88*가정!$B$10</f>
        <v>25200000</v>
      </c>
      <c r="C88" s="7" t="n">
        <f aca="false">가정!$B$30</f>
        <v>8600000</v>
      </c>
      <c r="D88" s="7" t="n">
        <f aca="false">ROUNDUP(MAX(0,A88-가정!$B$18)/가정!$B$19,0)</f>
        <v>3</v>
      </c>
      <c r="E88" s="7" t="n">
        <f aca="false">D88*가정!$B$20</f>
        <v>8400000</v>
      </c>
      <c r="F88" s="7" t="n">
        <f aca="false">A88*가정!$B$22+B88*가정!$B$23</f>
        <v>2016000</v>
      </c>
      <c r="G88" s="7" t="n">
        <f aca="false">B88*가정!$B$24</f>
        <v>0</v>
      </c>
      <c r="H88" s="7" t="n">
        <f aca="false">B88-C88-E88-F88-G88</f>
        <v>6184000</v>
      </c>
      <c r="I88" s="7" t="n">
        <f aca="false">H88-IF(가정!$B$7=1,가정!$B$5,0)</f>
        <v>6184000</v>
      </c>
      <c r="J88" s="7" t="n">
        <f aca="false">MAX(0,I88)*가정!$B$6</f>
        <v>5565600</v>
      </c>
      <c r="K88" s="7" t="n">
        <f aca="false">가정!$B$5+J88</f>
        <v>5565600</v>
      </c>
      <c r="L88" s="7" t="n">
        <f aca="false">H88-K88</f>
        <v>618400</v>
      </c>
      <c r="M88" s="8" t="n">
        <f aca="false">IF(B88=0,0,K88/B88)</f>
        <v>0.220857142857143</v>
      </c>
      <c r="N88" s="7" t="n">
        <f aca="false">K88/가정!$B$8</f>
        <v>27828</v>
      </c>
      <c r="O88" s="7" t="n">
        <f aca="false">IF(I88&gt;0,A88,"")</f>
        <v>84</v>
      </c>
      <c r="P88" s="7" t="n">
        <f aca="false">IF(L88&gt;=0,A88,"")</f>
        <v>84</v>
      </c>
      <c r="Q88" s="7" t="str">
        <f aca="false">IF(K88&gt;=가정!$B$28,A88,"")</f>
        <v/>
      </c>
      <c r="R88" s="7" t="str">
        <f aca="false">IF(MAX(0,I88)*(1-가정!$B$6)*'1억 상환'!$B$6&gt;='1억 상환'!$B$5,A88,"")</f>
        <v/>
      </c>
    </row>
    <row r="89" customFormat="false" ht="15" hidden="false" customHeight="false" outlineLevel="0" collapsed="false">
      <c r="A89" s="7" t="n">
        <v>85</v>
      </c>
      <c r="B89" s="7" t="n">
        <f aca="false">A89*가정!$B$10</f>
        <v>25500000</v>
      </c>
      <c r="C89" s="7" t="n">
        <f aca="false">가정!$B$30</f>
        <v>8600000</v>
      </c>
      <c r="D89" s="7" t="n">
        <f aca="false">ROUNDUP(MAX(0,A89-가정!$B$18)/가정!$B$19,0)</f>
        <v>3</v>
      </c>
      <c r="E89" s="7" t="n">
        <f aca="false">D89*가정!$B$20</f>
        <v>8400000</v>
      </c>
      <c r="F89" s="7" t="n">
        <f aca="false">A89*가정!$B$22+B89*가정!$B$23</f>
        <v>2040000</v>
      </c>
      <c r="G89" s="7" t="n">
        <f aca="false">B89*가정!$B$24</f>
        <v>0</v>
      </c>
      <c r="H89" s="7" t="n">
        <f aca="false">B89-C89-E89-F89-G89</f>
        <v>6460000</v>
      </c>
      <c r="I89" s="7" t="n">
        <f aca="false">H89-IF(가정!$B$7=1,가정!$B$5,0)</f>
        <v>6460000</v>
      </c>
      <c r="J89" s="7" t="n">
        <f aca="false">MAX(0,I89)*가정!$B$6</f>
        <v>5814000</v>
      </c>
      <c r="K89" s="7" t="n">
        <f aca="false">가정!$B$5+J89</f>
        <v>5814000</v>
      </c>
      <c r="L89" s="7" t="n">
        <f aca="false">H89-K89</f>
        <v>646000</v>
      </c>
      <c r="M89" s="8" t="n">
        <f aca="false">IF(B89=0,0,K89/B89)</f>
        <v>0.228</v>
      </c>
      <c r="N89" s="7" t="n">
        <f aca="false">K89/가정!$B$8</f>
        <v>29070</v>
      </c>
      <c r="O89" s="7" t="n">
        <f aca="false">IF(I89&gt;0,A89,"")</f>
        <v>85</v>
      </c>
      <c r="P89" s="7" t="n">
        <f aca="false">IF(L89&gt;=0,A89,"")</f>
        <v>85</v>
      </c>
      <c r="Q89" s="7" t="str">
        <f aca="false">IF(K89&gt;=가정!$B$28,A89,"")</f>
        <v/>
      </c>
      <c r="R89" s="7" t="str">
        <f aca="false">IF(MAX(0,I89)*(1-가정!$B$6)*'1억 상환'!$B$6&gt;='1억 상환'!$B$5,A89,"")</f>
        <v/>
      </c>
    </row>
    <row r="90" customFormat="false" ht="15" hidden="false" customHeight="false" outlineLevel="0" collapsed="false">
      <c r="A90" s="7" t="n">
        <v>86</v>
      </c>
      <c r="B90" s="7" t="n">
        <f aca="false">A90*가정!$B$10</f>
        <v>25800000</v>
      </c>
      <c r="C90" s="7" t="n">
        <f aca="false">가정!$B$30</f>
        <v>8600000</v>
      </c>
      <c r="D90" s="7" t="n">
        <f aca="false">ROUNDUP(MAX(0,A90-가정!$B$18)/가정!$B$19,0)</f>
        <v>3</v>
      </c>
      <c r="E90" s="7" t="n">
        <f aca="false">D90*가정!$B$20</f>
        <v>8400000</v>
      </c>
      <c r="F90" s="7" t="n">
        <f aca="false">A90*가정!$B$22+B90*가정!$B$23</f>
        <v>2064000</v>
      </c>
      <c r="G90" s="7" t="n">
        <f aca="false">B90*가정!$B$24</f>
        <v>0</v>
      </c>
      <c r="H90" s="7" t="n">
        <f aca="false">B90-C90-E90-F90-G90</f>
        <v>6736000</v>
      </c>
      <c r="I90" s="7" t="n">
        <f aca="false">H90-IF(가정!$B$7=1,가정!$B$5,0)</f>
        <v>6736000</v>
      </c>
      <c r="J90" s="7" t="n">
        <f aca="false">MAX(0,I90)*가정!$B$6</f>
        <v>6062400</v>
      </c>
      <c r="K90" s="7" t="n">
        <f aca="false">가정!$B$5+J90</f>
        <v>6062400</v>
      </c>
      <c r="L90" s="7" t="n">
        <f aca="false">H90-K90</f>
        <v>673600</v>
      </c>
      <c r="M90" s="8" t="n">
        <f aca="false">IF(B90=0,0,K90/B90)</f>
        <v>0.234976744186047</v>
      </c>
      <c r="N90" s="7" t="n">
        <f aca="false">K90/가정!$B$8</f>
        <v>30312</v>
      </c>
      <c r="O90" s="7" t="n">
        <f aca="false">IF(I90&gt;0,A90,"")</f>
        <v>86</v>
      </c>
      <c r="P90" s="7" t="n">
        <f aca="false">IF(L90&gt;=0,A90,"")</f>
        <v>86</v>
      </c>
      <c r="Q90" s="7" t="n">
        <f aca="false">IF(K90&gt;=가정!$B$28,A90,"")</f>
        <v>86</v>
      </c>
      <c r="R90" s="7" t="str">
        <f aca="false">IF(MAX(0,I90)*(1-가정!$B$6)*'1억 상환'!$B$6&gt;='1억 상환'!$B$5,A90,"")</f>
        <v/>
      </c>
    </row>
    <row r="91" customFormat="false" ht="15" hidden="false" customHeight="false" outlineLevel="0" collapsed="false">
      <c r="A91" s="7" t="n">
        <v>87</v>
      </c>
      <c r="B91" s="7" t="n">
        <f aca="false">A91*가정!$B$10</f>
        <v>26100000</v>
      </c>
      <c r="C91" s="7" t="n">
        <f aca="false">가정!$B$30</f>
        <v>8600000</v>
      </c>
      <c r="D91" s="7" t="n">
        <f aca="false">ROUNDUP(MAX(0,A91-가정!$B$18)/가정!$B$19,0)</f>
        <v>3</v>
      </c>
      <c r="E91" s="7" t="n">
        <f aca="false">D91*가정!$B$20</f>
        <v>8400000</v>
      </c>
      <c r="F91" s="7" t="n">
        <f aca="false">A91*가정!$B$22+B91*가정!$B$23</f>
        <v>2088000</v>
      </c>
      <c r="G91" s="7" t="n">
        <f aca="false">B91*가정!$B$24</f>
        <v>0</v>
      </c>
      <c r="H91" s="7" t="n">
        <f aca="false">B91-C91-E91-F91-G91</f>
        <v>7012000</v>
      </c>
      <c r="I91" s="7" t="n">
        <f aca="false">H91-IF(가정!$B$7=1,가정!$B$5,0)</f>
        <v>7012000</v>
      </c>
      <c r="J91" s="7" t="n">
        <f aca="false">MAX(0,I91)*가정!$B$6</f>
        <v>6310800</v>
      </c>
      <c r="K91" s="7" t="n">
        <f aca="false">가정!$B$5+J91</f>
        <v>6310800</v>
      </c>
      <c r="L91" s="7" t="n">
        <f aca="false">H91-K91</f>
        <v>701200</v>
      </c>
      <c r="M91" s="8" t="n">
        <f aca="false">IF(B91=0,0,K91/B91)</f>
        <v>0.241793103448276</v>
      </c>
      <c r="N91" s="7" t="n">
        <f aca="false">K91/가정!$B$8</f>
        <v>31554</v>
      </c>
      <c r="O91" s="7" t="n">
        <f aca="false">IF(I91&gt;0,A91,"")</f>
        <v>87</v>
      </c>
      <c r="P91" s="7" t="n">
        <f aca="false">IF(L91&gt;=0,A91,"")</f>
        <v>87</v>
      </c>
      <c r="Q91" s="7" t="n">
        <f aca="false">IF(K91&gt;=가정!$B$28,A91,"")</f>
        <v>87</v>
      </c>
      <c r="R91" s="7" t="str">
        <f aca="false">IF(MAX(0,I91)*(1-가정!$B$6)*'1억 상환'!$B$6&gt;='1억 상환'!$B$5,A91,"")</f>
        <v/>
      </c>
    </row>
    <row r="92" customFormat="false" ht="15" hidden="false" customHeight="false" outlineLevel="0" collapsed="false">
      <c r="A92" s="7" t="n">
        <v>88</v>
      </c>
      <c r="B92" s="7" t="n">
        <f aca="false">A92*가정!$B$10</f>
        <v>26400000</v>
      </c>
      <c r="C92" s="7" t="n">
        <f aca="false">가정!$B$30</f>
        <v>8600000</v>
      </c>
      <c r="D92" s="7" t="n">
        <f aca="false">ROUNDUP(MAX(0,A92-가정!$B$18)/가정!$B$19,0)</f>
        <v>3</v>
      </c>
      <c r="E92" s="7" t="n">
        <f aca="false">D92*가정!$B$20</f>
        <v>8400000</v>
      </c>
      <c r="F92" s="7" t="n">
        <f aca="false">A92*가정!$B$22+B92*가정!$B$23</f>
        <v>2112000</v>
      </c>
      <c r="G92" s="7" t="n">
        <f aca="false">B92*가정!$B$24</f>
        <v>0</v>
      </c>
      <c r="H92" s="7" t="n">
        <f aca="false">B92-C92-E92-F92-G92</f>
        <v>7288000</v>
      </c>
      <c r="I92" s="7" t="n">
        <f aca="false">H92-IF(가정!$B$7=1,가정!$B$5,0)</f>
        <v>7288000</v>
      </c>
      <c r="J92" s="7" t="n">
        <f aca="false">MAX(0,I92)*가정!$B$6</f>
        <v>6559200</v>
      </c>
      <c r="K92" s="7" t="n">
        <f aca="false">가정!$B$5+J92</f>
        <v>6559200</v>
      </c>
      <c r="L92" s="7" t="n">
        <f aca="false">H92-K92</f>
        <v>728800</v>
      </c>
      <c r="M92" s="8" t="n">
        <f aca="false">IF(B92=0,0,K92/B92)</f>
        <v>0.248454545454545</v>
      </c>
      <c r="N92" s="7" t="n">
        <f aca="false">K92/가정!$B$8</f>
        <v>32796</v>
      </c>
      <c r="O92" s="7" t="n">
        <f aca="false">IF(I92&gt;0,A92,"")</f>
        <v>88</v>
      </c>
      <c r="P92" s="7" t="n">
        <f aca="false">IF(L92&gt;=0,A92,"")</f>
        <v>88</v>
      </c>
      <c r="Q92" s="7" t="n">
        <f aca="false">IF(K92&gt;=가정!$B$28,A92,"")</f>
        <v>88</v>
      </c>
      <c r="R92" s="7" t="str">
        <f aca="false">IF(MAX(0,I92)*(1-가정!$B$6)*'1억 상환'!$B$6&gt;='1억 상환'!$B$5,A92,"")</f>
        <v/>
      </c>
    </row>
    <row r="93" customFormat="false" ht="15" hidden="false" customHeight="false" outlineLevel="0" collapsed="false">
      <c r="A93" s="7" t="n">
        <v>89</v>
      </c>
      <c r="B93" s="7" t="n">
        <f aca="false">A93*가정!$B$10</f>
        <v>26700000</v>
      </c>
      <c r="C93" s="7" t="n">
        <f aca="false">가정!$B$30</f>
        <v>8600000</v>
      </c>
      <c r="D93" s="7" t="n">
        <f aca="false">ROUNDUP(MAX(0,A93-가정!$B$18)/가정!$B$19,0)</f>
        <v>3</v>
      </c>
      <c r="E93" s="7" t="n">
        <f aca="false">D93*가정!$B$20</f>
        <v>8400000</v>
      </c>
      <c r="F93" s="7" t="n">
        <f aca="false">A93*가정!$B$22+B93*가정!$B$23</f>
        <v>2136000</v>
      </c>
      <c r="G93" s="7" t="n">
        <f aca="false">B93*가정!$B$24</f>
        <v>0</v>
      </c>
      <c r="H93" s="7" t="n">
        <f aca="false">B93-C93-E93-F93-G93</f>
        <v>7564000</v>
      </c>
      <c r="I93" s="7" t="n">
        <f aca="false">H93-IF(가정!$B$7=1,가정!$B$5,0)</f>
        <v>7564000</v>
      </c>
      <c r="J93" s="7" t="n">
        <f aca="false">MAX(0,I93)*가정!$B$6</f>
        <v>6807600</v>
      </c>
      <c r="K93" s="7" t="n">
        <f aca="false">가정!$B$5+J93</f>
        <v>6807600</v>
      </c>
      <c r="L93" s="7" t="n">
        <f aca="false">H93-K93</f>
        <v>756400</v>
      </c>
      <c r="M93" s="8" t="n">
        <f aca="false">IF(B93=0,0,K93/B93)</f>
        <v>0.254966292134831</v>
      </c>
      <c r="N93" s="7" t="n">
        <f aca="false">K93/가정!$B$8</f>
        <v>34038</v>
      </c>
      <c r="O93" s="7" t="n">
        <f aca="false">IF(I93&gt;0,A93,"")</f>
        <v>89</v>
      </c>
      <c r="P93" s="7" t="n">
        <f aca="false">IF(L93&gt;=0,A93,"")</f>
        <v>89</v>
      </c>
      <c r="Q93" s="7" t="n">
        <f aca="false">IF(K93&gt;=가정!$B$28,A93,"")</f>
        <v>89</v>
      </c>
      <c r="R93" s="7" t="str">
        <f aca="false">IF(MAX(0,I93)*(1-가정!$B$6)*'1억 상환'!$B$6&gt;='1억 상환'!$B$5,A93,"")</f>
        <v/>
      </c>
    </row>
    <row r="94" customFormat="false" ht="15" hidden="false" customHeight="false" outlineLevel="0" collapsed="false">
      <c r="A94" s="7" t="n">
        <v>90</v>
      </c>
      <c r="B94" s="7" t="n">
        <f aca="false">A94*가정!$B$10</f>
        <v>27000000</v>
      </c>
      <c r="C94" s="7" t="n">
        <f aca="false">가정!$B$30</f>
        <v>8600000</v>
      </c>
      <c r="D94" s="7" t="n">
        <f aca="false">ROUNDUP(MAX(0,A94-가정!$B$18)/가정!$B$19,0)</f>
        <v>3</v>
      </c>
      <c r="E94" s="7" t="n">
        <f aca="false">D94*가정!$B$20</f>
        <v>8400000</v>
      </c>
      <c r="F94" s="7" t="n">
        <f aca="false">A94*가정!$B$22+B94*가정!$B$23</f>
        <v>2160000</v>
      </c>
      <c r="G94" s="7" t="n">
        <f aca="false">B94*가정!$B$24</f>
        <v>0</v>
      </c>
      <c r="H94" s="7" t="n">
        <f aca="false">B94-C94-E94-F94-G94</f>
        <v>7840000</v>
      </c>
      <c r="I94" s="7" t="n">
        <f aca="false">H94-IF(가정!$B$7=1,가정!$B$5,0)</f>
        <v>7840000</v>
      </c>
      <c r="J94" s="7" t="n">
        <f aca="false">MAX(0,I94)*가정!$B$6</f>
        <v>7056000</v>
      </c>
      <c r="K94" s="7" t="n">
        <f aca="false">가정!$B$5+J94</f>
        <v>7056000</v>
      </c>
      <c r="L94" s="7" t="n">
        <f aca="false">H94-K94</f>
        <v>784000</v>
      </c>
      <c r="M94" s="8" t="n">
        <f aca="false">IF(B94=0,0,K94/B94)</f>
        <v>0.261333333333333</v>
      </c>
      <c r="N94" s="7" t="n">
        <f aca="false">K94/가정!$B$8</f>
        <v>35280</v>
      </c>
      <c r="O94" s="7" t="n">
        <f aca="false">IF(I94&gt;0,A94,"")</f>
        <v>90</v>
      </c>
      <c r="P94" s="7" t="n">
        <f aca="false">IF(L94&gt;=0,A94,"")</f>
        <v>90</v>
      </c>
      <c r="Q94" s="7" t="n">
        <f aca="false">IF(K94&gt;=가정!$B$28,A94,"")</f>
        <v>90</v>
      </c>
      <c r="R94" s="7" t="str">
        <f aca="false">IF(MAX(0,I94)*(1-가정!$B$6)*'1억 상환'!$B$6&gt;='1억 상환'!$B$5,A94,"")</f>
        <v/>
      </c>
    </row>
    <row r="95" customFormat="false" ht="15" hidden="false" customHeight="false" outlineLevel="0" collapsed="false">
      <c r="A95" s="7" t="n">
        <v>91</v>
      </c>
      <c r="B95" s="7" t="n">
        <f aca="false">A95*가정!$B$10</f>
        <v>27300000</v>
      </c>
      <c r="C95" s="7" t="n">
        <f aca="false">가정!$B$30</f>
        <v>8600000</v>
      </c>
      <c r="D95" s="7" t="n">
        <f aca="false">ROUNDUP(MAX(0,A95-가정!$B$18)/가정!$B$19,0)</f>
        <v>3</v>
      </c>
      <c r="E95" s="7" t="n">
        <f aca="false">D95*가정!$B$20</f>
        <v>8400000</v>
      </c>
      <c r="F95" s="7" t="n">
        <f aca="false">A95*가정!$B$22+B95*가정!$B$23</f>
        <v>2184000</v>
      </c>
      <c r="G95" s="7" t="n">
        <f aca="false">B95*가정!$B$24</f>
        <v>0</v>
      </c>
      <c r="H95" s="7" t="n">
        <f aca="false">B95-C95-E95-F95-G95</f>
        <v>8116000</v>
      </c>
      <c r="I95" s="7" t="n">
        <f aca="false">H95-IF(가정!$B$7=1,가정!$B$5,0)</f>
        <v>8116000</v>
      </c>
      <c r="J95" s="7" t="n">
        <f aca="false">MAX(0,I95)*가정!$B$6</f>
        <v>7304400</v>
      </c>
      <c r="K95" s="7" t="n">
        <f aca="false">가정!$B$5+J95</f>
        <v>7304400</v>
      </c>
      <c r="L95" s="7" t="n">
        <f aca="false">H95-K95</f>
        <v>811600</v>
      </c>
      <c r="M95" s="8" t="n">
        <f aca="false">IF(B95=0,0,K95/B95)</f>
        <v>0.26756043956044</v>
      </c>
      <c r="N95" s="7" t="n">
        <f aca="false">K95/가정!$B$8</f>
        <v>36522</v>
      </c>
      <c r="O95" s="7" t="n">
        <f aca="false">IF(I95&gt;0,A95,"")</f>
        <v>91</v>
      </c>
      <c r="P95" s="7" t="n">
        <f aca="false">IF(L95&gt;=0,A95,"")</f>
        <v>91</v>
      </c>
      <c r="Q95" s="7" t="n">
        <f aca="false">IF(K95&gt;=가정!$B$28,A95,"")</f>
        <v>91</v>
      </c>
      <c r="R95" s="7" t="str">
        <f aca="false">IF(MAX(0,I95)*(1-가정!$B$6)*'1억 상환'!$B$6&gt;='1억 상환'!$B$5,A95,"")</f>
        <v/>
      </c>
    </row>
    <row r="96" customFormat="false" ht="15" hidden="false" customHeight="false" outlineLevel="0" collapsed="false">
      <c r="A96" s="7" t="n">
        <v>92</v>
      </c>
      <c r="B96" s="7" t="n">
        <f aca="false">A96*가정!$B$10</f>
        <v>27600000</v>
      </c>
      <c r="C96" s="7" t="n">
        <f aca="false">가정!$B$30</f>
        <v>8600000</v>
      </c>
      <c r="D96" s="7" t="n">
        <f aca="false">ROUNDUP(MAX(0,A96-가정!$B$18)/가정!$B$19,0)</f>
        <v>3</v>
      </c>
      <c r="E96" s="7" t="n">
        <f aca="false">D96*가정!$B$20</f>
        <v>8400000</v>
      </c>
      <c r="F96" s="7" t="n">
        <f aca="false">A96*가정!$B$22+B96*가정!$B$23</f>
        <v>2208000</v>
      </c>
      <c r="G96" s="7" t="n">
        <f aca="false">B96*가정!$B$24</f>
        <v>0</v>
      </c>
      <c r="H96" s="7" t="n">
        <f aca="false">B96-C96-E96-F96-G96</f>
        <v>8392000</v>
      </c>
      <c r="I96" s="7" t="n">
        <f aca="false">H96-IF(가정!$B$7=1,가정!$B$5,0)</f>
        <v>8392000</v>
      </c>
      <c r="J96" s="7" t="n">
        <f aca="false">MAX(0,I96)*가정!$B$6</f>
        <v>7552800</v>
      </c>
      <c r="K96" s="7" t="n">
        <f aca="false">가정!$B$5+J96</f>
        <v>7552800</v>
      </c>
      <c r="L96" s="7" t="n">
        <f aca="false">H96-K96</f>
        <v>839200</v>
      </c>
      <c r="M96" s="8" t="n">
        <f aca="false">IF(B96=0,0,K96/B96)</f>
        <v>0.273652173913044</v>
      </c>
      <c r="N96" s="7" t="n">
        <f aca="false">K96/가정!$B$8</f>
        <v>37764</v>
      </c>
      <c r="O96" s="7" t="n">
        <f aca="false">IF(I96&gt;0,A96,"")</f>
        <v>92</v>
      </c>
      <c r="P96" s="7" t="n">
        <f aca="false">IF(L96&gt;=0,A96,"")</f>
        <v>92</v>
      </c>
      <c r="Q96" s="7" t="n">
        <f aca="false">IF(K96&gt;=가정!$B$28,A96,"")</f>
        <v>92</v>
      </c>
      <c r="R96" s="7" t="str">
        <f aca="false">IF(MAX(0,I96)*(1-가정!$B$6)*'1억 상환'!$B$6&gt;='1억 상환'!$B$5,A96,"")</f>
        <v/>
      </c>
    </row>
    <row r="97" customFormat="false" ht="15" hidden="false" customHeight="false" outlineLevel="0" collapsed="false">
      <c r="A97" s="7" t="n">
        <v>93</v>
      </c>
      <c r="B97" s="7" t="n">
        <f aca="false">A97*가정!$B$10</f>
        <v>27900000</v>
      </c>
      <c r="C97" s="7" t="n">
        <f aca="false">가정!$B$30</f>
        <v>8600000</v>
      </c>
      <c r="D97" s="7" t="n">
        <f aca="false">ROUNDUP(MAX(0,A97-가정!$B$18)/가정!$B$19,0)</f>
        <v>3</v>
      </c>
      <c r="E97" s="7" t="n">
        <f aca="false">D97*가정!$B$20</f>
        <v>8400000</v>
      </c>
      <c r="F97" s="7" t="n">
        <f aca="false">A97*가정!$B$22+B97*가정!$B$23</f>
        <v>2232000</v>
      </c>
      <c r="G97" s="7" t="n">
        <f aca="false">B97*가정!$B$24</f>
        <v>0</v>
      </c>
      <c r="H97" s="7" t="n">
        <f aca="false">B97-C97-E97-F97-G97</f>
        <v>8668000</v>
      </c>
      <c r="I97" s="7" t="n">
        <f aca="false">H97-IF(가정!$B$7=1,가정!$B$5,0)</f>
        <v>8668000</v>
      </c>
      <c r="J97" s="7" t="n">
        <f aca="false">MAX(0,I97)*가정!$B$6</f>
        <v>7801200</v>
      </c>
      <c r="K97" s="7" t="n">
        <f aca="false">가정!$B$5+J97</f>
        <v>7801200</v>
      </c>
      <c r="L97" s="7" t="n">
        <f aca="false">H97-K97</f>
        <v>866800</v>
      </c>
      <c r="M97" s="8" t="n">
        <f aca="false">IF(B97=0,0,K97/B97)</f>
        <v>0.279612903225806</v>
      </c>
      <c r="N97" s="7" t="n">
        <f aca="false">K97/가정!$B$8</f>
        <v>39006</v>
      </c>
      <c r="O97" s="7" t="n">
        <f aca="false">IF(I97&gt;0,A97,"")</f>
        <v>93</v>
      </c>
      <c r="P97" s="7" t="n">
        <f aca="false">IF(L97&gt;=0,A97,"")</f>
        <v>93</v>
      </c>
      <c r="Q97" s="7" t="n">
        <f aca="false">IF(K97&gt;=가정!$B$28,A97,"")</f>
        <v>93</v>
      </c>
      <c r="R97" s="7" t="str">
        <f aca="false">IF(MAX(0,I97)*(1-가정!$B$6)*'1억 상환'!$B$6&gt;='1억 상환'!$B$5,A97,"")</f>
        <v/>
      </c>
    </row>
    <row r="98" customFormat="false" ht="15" hidden="false" customHeight="false" outlineLevel="0" collapsed="false">
      <c r="A98" s="7" t="n">
        <v>94</v>
      </c>
      <c r="B98" s="7" t="n">
        <f aca="false">A98*가정!$B$10</f>
        <v>28200000</v>
      </c>
      <c r="C98" s="7" t="n">
        <f aca="false">가정!$B$30</f>
        <v>8600000</v>
      </c>
      <c r="D98" s="7" t="n">
        <f aca="false">ROUNDUP(MAX(0,A98-가정!$B$18)/가정!$B$19,0)</f>
        <v>3</v>
      </c>
      <c r="E98" s="7" t="n">
        <f aca="false">D98*가정!$B$20</f>
        <v>8400000</v>
      </c>
      <c r="F98" s="7" t="n">
        <f aca="false">A98*가정!$B$22+B98*가정!$B$23</f>
        <v>2256000</v>
      </c>
      <c r="G98" s="7" t="n">
        <f aca="false">B98*가정!$B$24</f>
        <v>0</v>
      </c>
      <c r="H98" s="7" t="n">
        <f aca="false">B98-C98-E98-F98-G98</f>
        <v>8944000</v>
      </c>
      <c r="I98" s="7" t="n">
        <f aca="false">H98-IF(가정!$B$7=1,가정!$B$5,0)</f>
        <v>8944000</v>
      </c>
      <c r="J98" s="7" t="n">
        <f aca="false">MAX(0,I98)*가정!$B$6</f>
        <v>8049600</v>
      </c>
      <c r="K98" s="7" t="n">
        <f aca="false">가정!$B$5+J98</f>
        <v>8049600</v>
      </c>
      <c r="L98" s="7" t="n">
        <f aca="false">H98-K98</f>
        <v>894400</v>
      </c>
      <c r="M98" s="8" t="n">
        <f aca="false">IF(B98=0,0,K98/B98)</f>
        <v>0.285446808510638</v>
      </c>
      <c r="N98" s="7" t="n">
        <f aca="false">K98/가정!$B$8</f>
        <v>40248</v>
      </c>
      <c r="O98" s="7" t="n">
        <f aca="false">IF(I98&gt;0,A98,"")</f>
        <v>94</v>
      </c>
      <c r="P98" s="7" t="n">
        <f aca="false">IF(L98&gt;=0,A98,"")</f>
        <v>94</v>
      </c>
      <c r="Q98" s="7" t="n">
        <f aca="false">IF(K98&gt;=가정!$B$28,A98,"")</f>
        <v>94</v>
      </c>
      <c r="R98" s="7" t="str">
        <f aca="false">IF(MAX(0,I98)*(1-가정!$B$6)*'1억 상환'!$B$6&gt;='1억 상환'!$B$5,A98,"")</f>
        <v/>
      </c>
    </row>
    <row r="99" customFormat="false" ht="15" hidden="false" customHeight="false" outlineLevel="0" collapsed="false">
      <c r="A99" s="7" t="n">
        <v>95</v>
      </c>
      <c r="B99" s="7" t="n">
        <f aca="false">A99*가정!$B$10</f>
        <v>28500000</v>
      </c>
      <c r="C99" s="7" t="n">
        <f aca="false">가정!$B$30</f>
        <v>8600000</v>
      </c>
      <c r="D99" s="7" t="n">
        <f aca="false">ROUNDUP(MAX(0,A99-가정!$B$18)/가정!$B$19,0)</f>
        <v>3</v>
      </c>
      <c r="E99" s="7" t="n">
        <f aca="false">D99*가정!$B$20</f>
        <v>8400000</v>
      </c>
      <c r="F99" s="7" t="n">
        <f aca="false">A99*가정!$B$22+B99*가정!$B$23</f>
        <v>2280000</v>
      </c>
      <c r="G99" s="7" t="n">
        <f aca="false">B99*가정!$B$24</f>
        <v>0</v>
      </c>
      <c r="H99" s="7" t="n">
        <f aca="false">B99-C99-E99-F99-G99</f>
        <v>9220000</v>
      </c>
      <c r="I99" s="7" t="n">
        <f aca="false">H99-IF(가정!$B$7=1,가정!$B$5,0)</f>
        <v>9220000</v>
      </c>
      <c r="J99" s="7" t="n">
        <f aca="false">MAX(0,I99)*가정!$B$6</f>
        <v>8298000</v>
      </c>
      <c r="K99" s="7" t="n">
        <f aca="false">가정!$B$5+J99</f>
        <v>8298000</v>
      </c>
      <c r="L99" s="7" t="n">
        <f aca="false">H99-K99</f>
        <v>922000</v>
      </c>
      <c r="M99" s="8" t="n">
        <f aca="false">IF(B99=0,0,K99/B99)</f>
        <v>0.291157894736842</v>
      </c>
      <c r="N99" s="7" t="n">
        <f aca="false">K99/가정!$B$8</f>
        <v>41490</v>
      </c>
      <c r="O99" s="7" t="n">
        <f aca="false">IF(I99&gt;0,A99,"")</f>
        <v>95</v>
      </c>
      <c r="P99" s="7" t="n">
        <f aca="false">IF(L99&gt;=0,A99,"")</f>
        <v>95</v>
      </c>
      <c r="Q99" s="7" t="n">
        <f aca="false">IF(K99&gt;=가정!$B$28,A99,"")</f>
        <v>95</v>
      </c>
      <c r="R99" s="7" t="str">
        <f aca="false">IF(MAX(0,I99)*(1-가정!$B$6)*'1억 상환'!$B$6&gt;='1억 상환'!$B$5,A99,"")</f>
        <v/>
      </c>
    </row>
    <row r="100" customFormat="false" ht="15" hidden="false" customHeight="false" outlineLevel="0" collapsed="false">
      <c r="A100" s="7" t="n">
        <v>96</v>
      </c>
      <c r="B100" s="7" t="n">
        <f aca="false">A100*가정!$B$10</f>
        <v>28800000</v>
      </c>
      <c r="C100" s="7" t="n">
        <f aca="false">가정!$B$30</f>
        <v>8600000</v>
      </c>
      <c r="D100" s="7" t="n">
        <f aca="false">ROUNDUP(MAX(0,A100-가정!$B$18)/가정!$B$19,0)</f>
        <v>3</v>
      </c>
      <c r="E100" s="7" t="n">
        <f aca="false">D100*가정!$B$20</f>
        <v>8400000</v>
      </c>
      <c r="F100" s="7" t="n">
        <f aca="false">A100*가정!$B$22+B100*가정!$B$23</f>
        <v>2304000</v>
      </c>
      <c r="G100" s="7" t="n">
        <f aca="false">B100*가정!$B$24</f>
        <v>0</v>
      </c>
      <c r="H100" s="7" t="n">
        <f aca="false">B100-C100-E100-F100-G100</f>
        <v>9496000</v>
      </c>
      <c r="I100" s="7" t="n">
        <f aca="false">H100-IF(가정!$B$7=1,가정!$B$5,0)</f>
        <v>9496000</v>
      </c>
      <c r="J100" s="7" t="n">
        <f aca="false">MAX(0,I100)*가정!$B$6</f>
        <v>8546400</v>
      </c>
      <c r="K100" s="7" t="n">
        <f aca="false">가정!$B$5+J100</f>
        <v>8546400</v>
      </c>
      <c r="L100" s="7" t="n">
        <f aca="false">H100-K100</f>
        <v>949600</v>
      </c>
      <c r="M100" s="8" t="n">
        <f aca="false">IF(B100=0,0,K100/B100)</f>
        <v>0.29675</v>
      </c>
      <c r="N100" s="7" t="n">
        <f aca="false">K100/가정!$B$8</f>
        <v>42732</v>
      </c>
      <c r="O100" s="7" t="n">
        <f aca="false">IF(I100&gt;0,A100,"")</f>
        <v>96</v>
      </c>
      <c r="P100" s="7" t="n">
        <f aca="false">IF(L100&gt;=0,A100,"")</f>
        <v>96</v>
      </c>
      <c r="Q100" s="7" t="n">
        <f aca="false">IF(K100&gt;=가정!$B$28,A100,"")</f>
        <v>96</v>
      </c>
      <c r="R100" s="7" t="str">
        <f aca="false">IF(MAX(0,I100)*(1-가정!$B$6)*'1억 상환'!$B$6&gt;='1억 상환'!$B$5,A100,"")</f>
        <v/>
      </c>
    </row>
    <row r="101" customFormat="false" ht="15" hidden="false" customHeight="false" outlineLevel="0" collapsed="false">
      <c r="A101" s="7" t="n">
        <v>97</v>
      </c>
      <c r="B101" s="7" t="n">
        <f aca="false">A101*가정!$B$10</f>
        <v>29100000</v>
      </c>
      <c r="C101" s="7" t="n">
        <f aca="false">가정!$B$30</f>
        <v>8600000</v>
      </c>
      <c r="D101" s="7" t="n">
        <f aca="false">ROUNDUP(MAX(0,A101-가정!$B$18)/가정!$B$19,0)</f>
        <v>3</v>
      </c>
      <c r="E101" s="7" t="n">
        <f aca="false">D101*가정!$B$20</f>
        <v>8400000</v>
      </c>
      <c r="F101" s="7" t="n">
        <f aca="false">A101*가정!$B$22+B101*가정!$B$23</f>
        <v>2328000</v>
      </c>
      <c r="G101" s="7" t="n">
        <f aca="false">B101*가정!$B$24</f>
        <v>0</v>
      </c>
      <c r="H101" s="7" t="n">
        <f aca="false">B101-C101-E101-F101-G101</f>
        <v>9772000</v>
      </c>
      <c r="I101" s="7" t="n">
        <f aca="false">H101-IF(가정!$B$7=1,가정!$B$5,0)</f>
        <v>9772000</v>
      </c>
      <c r="J101" s="7" t="n">
        <f aca="false">MAX(0,I101)*가정!$B$6</f>
        <v>8794800</v>
      </c>
      <c r="K101" s="7" t="n">
        <f aca="false">가정!$B$5+J101</f>
        <v>8794800</v>
      </c>
      <c r="L101" s="7" t="n">
        <f aca="false">H101-K101</f>
        <v>977200</v>
      </c>
      <c r="M101" s="8" t="n">
        <f aca="false">IF(B101=0,0,K101/B101)</f>
        <v>0.302226804123711</v>
      </c>
      <c r="N101" s="7" t="n">
        <f aca="false">K101/가정!$B$8</f>
        <v>43974</v>
      </c>
      <c r="O101" s="7" t="n">
        <f aca="false">IF(I101&gt;0,A101,"")</f>
        <v>97</v>
      </c>
      <c r="P101" s="7" t="n">
        <f aca="false">IF(L101&gt;=0,A101,"")</f>
        <v>97</v>
      </c>
      <c r="Q101" s="7" t="n">
        <f aca="false">IF(K101&gt;=가정!$B$28,A101,"")</f>
        <v>97</v>
      </c>
      <c r="R101" s="7" t="str">
        <f aca="false">IF(MAX(0,I101)*(1-가정!$B$6)*'1억 상환'!$B$6&gt;='1억 상환'!$B$5,A101,"")</f>
        <v/>
      </c>
    </row>
    <row r="102" customFormat="false" ht="15" hidden="false" customHeight="false" outlineLevel="0" collapsed="false">
      <c r="A102" s="7" t="n">
        <v>98</v>
      </c>
      <c r="B102" s="7" t="n">
        <f aca="false">A102*가정!$B$10</f>
        <v>29400000</v>
      </c>
      <c r="C102" s="7" t="n">
        <f aca="false">가정!$B$30</f>
        <v>8600000</v>
      </c>
      <c r="D102" s="7" t="n">
        <f aca="false">ROUNDUP(MAX(0,A102-가정!$B$18)/가정!$B$19,0)</f>
        <v>3</v>
      </c>
      <c r="E102" s="7" t="n">
        <f aca="false">D102*가정!$B$20</f>
        <v>8400000</v>
      </c>
      <c r="F102" s="7" t="n">
        <f aca="false">A102*가정!$B$22+B102*가정!$B$23</f>
        <v>2352000</v>
      </c>
      <c r="G102" s="7" t="n">
        <f aca="false">B102*가정!$B$24</f>
        <v>0</v>
      </c>
      <c r="H102" s="7" t="n">
        <f aca="false">B102-C102-E102-F102-G102</f>
        <v>10048000</v>
      </c>
      <c r="I102" s="7" t="n">
        <f aca="false">H102-IF(가정!$B$7=1,가정!$B$5,0)</f>
        <v>10048000</v>
      </c>
      <c r="J102" s="7" t="n">
        <f aca="false">MAX(0,I102)*가정!$B$6</f>
        <v>9043200</v>
      </c>
      <c r="K102" s="7" t="n">
        <f aca="false">가정!$B$5+J102</f>
        <v>9043200</v>
      </c>
      <c r="L102" s="7" t="n">
        <f aca="false">H102-K102</f>
        <v>1004800</v>
      </c>
      <c r="M102" s="8" t="n">
        <f aca="false">IF(B102=0,0,K102/B102)</f>
        <v>0.307591836734694</v>
      </c>
      <c r="N102" s="7" t="n">
        <f aca="false">K102/가정!$B$8</f>
        <v>45216</v>
      </c>
      <c r="O102" s="7" t="n">
        <f aca="false">IF(I102&gt;0,A102,"")</f>
        <v>98</v>
      </c>
      <c r="P102" s="7" t="n">
        <f aca="false">IF(L102&gt;=0,A102,"")</f>
        <v>98</v>
      </c>
      <c r="Q102" s="7" t="n">
        <f aca="false">IF(K102&gt;=가정!$B$28,A102,"")</f>
        <v>98</v>
      </c>
      <c r="R102" s="7" t="str">
        <f aca="false">IF(MAX(0,I102)*(1-가정!$B$6)*'1억 상환'!$B$6&gt;='1억 상환'!$B$5,A102,"")</f>
        <v/>
      </c>
    </row>
    <row r="103" customFormat="false" ht="15" hidden="false" customHeight="false" outlineLevel="0" collapsed="false">
      <c r="A103" s="7" t="n">
        <v>99</v>
      </c>
      <c r="B103" s="7" t="n">
        <f aca="false">A103*가정!$B$10</f>
        <v>29700000</v>
      </c>
      <c r="C103" s="7" t="n">
        <f aca="false">가정!$B$30</f>
        <v>8600000</v>
      </c>
      <c r="D103" s="7" t="n">
        <f aca="false">ROUNDUP(MAX(0,A103-가정!$B$18)/가정!$B$19,0)</f>
        <v>3</v>
      </c>
      <c r="E103" s="7" t="n">
        <f aca="false">D103*가정!$B$20</f>
        <v>8400000</v>
      </c>
      <c r="F103" s="7" t="n">
        <f aca="false">A103*가정!$B$22+B103*가정!$B$23</f>
        <v>2376000</v>
      </c>
      <c r="G103" s="7" t="n">
        <f aca="false">B103*가정!$B$24</f>
        <v>0</v>
      </c>
      <c r="H103" s="7" t="n">
        <f aca="false">B103-C103-E103-F103-G103</f>
        <v>10324000</v>
      </c>
      <c r="I103" s="7" t="n">
        <f aca="false">H103-IF(가정!$B$7=1,가정!$B$5,0)</f>
        <v>10324000</v>
      </c>
      <c r="J103" s="7" t="n">
        <f aca="false">MAX(0,I103)*가정!$B$6</f>
        <v>9291600</v>
      </c>
      <c r="K103" s="7" t="n">
        <f aca="false">가정!$B$5+J103</f>
        <v>9291600</v>
      </c>
      <c r="L103" s="7" t="n">
        <f aca="false">H103-K103</f>
        <v>1032400</v>
      </c>
      <c r="M103" s="8" t="n">
        <f aca="false">IF(B103=0,0,K103/B103)</f>
        <v>0.312848484848485</v>
      </c>
      <c r="N103" s="7" t="n">
        <f aca="false">K103/가정!$B$8</f>
        <v>46458</v>
      </c>
      <c r="O103" s="7" t="n">
        <f aca="false">IF(I103&gt;0,A103,"")</f>
        <v>99</v>
      </c>
      <c r="P103" s="7" t="n">
        <f aca="false">IF(L103&gt;=0,A103,"")</f>
        <v>99</v>
      </c>
      <c r="Q103" s="7" t="n">
        <f aca="false">IF(K103&gt;=가정!$B$28,A103,"")</f>
        <v>99</v>
      </c>
      <c r="R103" s="7" t="str">
        <f aca="false">IF(MAX(0,I103)*(1-가정!$B$6)*'1억 상환'!$B$6&gt;='1억 상환'!$B$5,A103,"")</f>
        <v/>
      </c>
    </row>
    <row r="104" customFormat="false" ht="15" hidden="false" customHeight="false" outlineLevel="0" collapsed="false">
      <c r="A104" s="7" t="n">
        <v>100</v>
      </c>
      <c r="B104" s="7" t="n">
        <f aca="false">A104*가정!$B$10</f>
        <v>30000000</v>
      </c>
      <c r="C104" s="7" t="n">
        <f aca="false">가정!$B$30</f>
        <v>8600000</v>
      </c>
      <c r="D104" s="7" t="n">
        <f aca="false">ROUNDUP(MAX(0,A104-가정!$B$18)/가정!$B$19,0)</f>
        <v>3</v>
      </c>
      <c r="E104" s="7" t="n">
        <f aca="false">D104*가정!$B$20</f>
        <v>8400000</v>
      </c>
      <c r="F104" s="7" t="n">
        <f aca="false">A104*가정!$B$22+B104*가정!$B$23</f>
        <v>2400000</v>
      </c>
      <c r="G104" s="7" t="n">
        <f aca="false">B104*가정!$B$24</f>
        <v>0</v>
      </c>
      <c r="H104" s="7" t="n">
        <f aca="false">B104-C104-E104-F104-G104</f>
        <v>10600000</v>
      </c>
      <c r="I104" s="7" t="n">
        <f aca="false">H104-IF(가정!$B$7=1,가정!$B$5,0)</f>
        <v>10600000</v>
      </c>
      <c r="J104" s="7" t="n">
        <f aca="false">MAX(0,I104)*가정!$B$6</f>
        <v>9540000</v>
      </c>
      <c r="K104" s="7" t="n">
        <f aca="false">가정!$B$5+J104</f>
        <v>9540000</v>
      </c>
      <c r="L104" s="7" t="n">
        <f aca="false">H104-K104</f>
        <v>1060000</v>
      </c>
      <c r="M104" s="8" t="n">
        <f aca="false">IF(B104=0,0,K104/B104)</f>
        <v>0.318</v>
      </c>
      <c r="N104" s="7" t="n">
        <f aca="false">K104/가정!$B$8</f>
        <v>47700</v>
      </c>
      <c r="O104" s="7" t="n">
        <f aca="false">IF(I104&gt;0,A104,"")</f>
        <v>100</v>
      </c>
      <c r="P104" s="7" t="n">
        <f aca="false">IF(L104&gt;=0,A104,"")</f>
        <v>100</v>
      </c>
      <c r="Q104" s="7" t="n">
        <f aca="false">IF(K104&gt;=가정!$B$28,A104,"")</f>
        <v>100</v>
      </c>
      <c r="R104" s="7" t="str">
        <f aca="false">IF(MAX(0,I104)*(1-가정!$B$6)*'1억 상환'!$B$6&gt;='1억 상환'!$B$5,A104,"")</f>
        <v/>
      </c>
    </row>
    <row r="105" customFormat="false" ht="15" hidden="false" customHeight="false" outlineLevel="0" collapsed="false">
      <c r="A105" s="7" t="n">
        <v>101</v>
      </c>
      <c r="B105" s="7" t="n">
        <f aca="false">A105*가정!$B$10</f>
        <v>30300000</v>
      </c>
      <c r="C105" s="7" t="n">
        <f aca="false">가정!$B$30</f>
        <v>8600000</v>
      </c>
      <c r="D105" s="7" t="n">
        <f aca="false">ROUNDUP(MAX(0,A105-가정!$B$18)/가정!$B$19,0)</f>
        <v>3</v>
      </c>
      <c r="E105" s="7" t="n">
        <f aca="false">D105*가정!$B$20</f>
        <v>8400000</v>
      </c>
      <c r="F105" s="7" t="n">
        <f aca="false">A105*가정!$B$22+B105*가정!$B$23</f>
        <v>2424000</v>
      </c>
      <c r="G105" s="7" t="n">
        <f aca="false">B105*가정!$B$24</f>
        <v>0</v>
      </c>
      <c r="H105" s="7" t="n">
        <f aca="false">B105-C105-E105-F105-G105</f>
        <v>10876000</v>
      </c>
      <c r="I105" s="7" t="n">
        <f aca="false">H105-IF(가정!$B$7=1,가정!$B$5,0)</f>
        <v>10876000</v>
      </c>
      <c r="J105" s="7" t="n">
        <f aca="false">MAX(0,I105)*가정!$B$6</f>
        <v>9788400</v>
      </c>
      <c r="K105" s="7" t="n">
        <f aca="false">가정!$B$5+J105</f>
        <v>9788400</v>
      </c>
      <c r="L105" s="7" t="n">
        <f aca="false">H105-K105</f>
        <v>1087600</v>
      </c>
      <c r="M105" s="8" t="n">
        <f aca="false">IF(B105=0,0,K105/B105)</f>
        <v>0.323049504950495</v>
      </c>
      <c r="N105" s="7" t="n">
        <f aca="false">K105/가정!$B$8</f>
        <v>48942</v>
      </c>
      <c r="O105" s="7" t="n">
        <f aca="false">IF(I105&gt;0,A105,"")</f>
        <v>101</v>
      </c>
      <c r="P105" s="7" t="n">
        <f aca="false">IF(L105&gt;=0,A105,"")</f>
        <v>101</v>
      </c>
      <c r="Q105" s="7" t="n">
        <f aca="false">IF(K105&gt;=가정!$B$28,A105,"")</f>
        <v>101</v>
      </c>
      <c r="R105" s="7" t="str">
        <f aca="false">IF(MAX(0,I105)*(1-가정!$B$6)*'1억 상환'!$B$6&gt;='1억 상환'!$B$5,A105,"")</f>
        <v/>
      </c>
    </row>
    <row r="106" customFormat="false" ht="15" hidden="false" customHeight="false" outlineLevel="0" collapsed="false">
      <c r="A106" s="7" t="n">
        <v>102</v>
      </c>
      <c r="B106" s="7" t="n">
        <f aca="false">A106*가정!$B$10</f>
        <v>30600000</v>
      </c>
      <c r="C106" s="7" t="n">
        <f aca="false">가정!$B$30</f>
        <v>8600000</v>
      </c>
      <c r="D106" s="7" t="n">
        <f aca="false">ROUNDUP(MAX(0,A106-가정!$B$18)/가정!$B$19,0)</f>
        <v>3</v>
      </c>
      <c r="E106" s="7" t="n">
        <f aca="false">D106*가정!$B$20</f>
        <v>8400000</v>
      </c>
      <c r="F106" s="7" t="n">
        <f aca="false">A106*가정!$B$22+B106*가정!$B$23</f>
        <v>2448000</v>
      </c>
      <c r="G106" s="7" t="n">
        <f aca="false">B106*가정!$B$24</f>
        <v>0</v>
      </c>
      <c r="H106" s="7" t="n">
        <f aca="false">B106-C106-E106-F106-G106</f>
        <v>11152000</v>
      </c>
      <c r="I106" s="7" t="n">
        <f aca="false">H106-IF(가정!$B$7=1,가정!$B$5,0)</f>
        <v>11152000</v>
      </c>
      <c r="J106" s="7" t="n">
        <f aca="false">MAX(0,I106)*가정!$B$6</f>
        <v>10036800</v>
      </c>
      <c r="K106" s="7" t="n">
        <f aca="false">가정!$B$5+J106</f>
        <v>10036800</v>
      </c>
      <c r="L106" s="7" t="n">
        <f aca="false">H106-K106</f>
        <v>1115200</v>
      </c>
      <c r="M106" s="8" t="n">
        <f aca="false">IF(B106=0,0,K106/B106)</f>
        <v>0.328</v>
      </c>
      <c r="N106" s="7" t="n">
        <f aca="false">K106/가정!$B$8</f>
        <v>50184</v>
      </c>
      <c r="O106" s="7" t="n">
        <f aca="false">IF(I106&gt;0,A106,"")</f>
        <v>102</v>
      </c>
      <c r="P106" s="7" t="n">
        <f aca="false">IF(L106&gt;=0,A106,"")</f>
        <v>102</v>
      </c>
      <c r="Q106" s="7" t="n">
        <f aca="false">IF(K106&gt;=가정!$B$28,A106,"")</f>
        <v>102</v>
      </c>
      <c r="R106" s="7" t="str">
        <f aca="false">IF(MAX(0,I106)*(1-가정!$B$6)*'1억 상환'!$B$6&gt;='1억 상환'!$B$5,A106,"")</f>
        <v/>
      </c>
    </row>
    <row r="107" customFormat="false" ht="15" hidden="false" customHeight="false" outlineLevel="0" collapsed="false">
      <c r="A107" s="7" t="n">
        <v>103</v>
      </c>
      <c r="B107" s="7" t="n">
        <f aca="false">A107*가정!$B$10</f>
        <v>30900000</v>
      </c>
      <c r="C107" s="7" t="n">
        <f aca="false">가정!$B$30</f>
        <v>8600000</v>
      </c>
      <c r="D107" s="7" t="n">
        <f aca="false">ROUNDUP(MAX(0,A107-가정!$B$18)/가정!$B$19,0)</f>
        <v>3</v>
      </c>
      <c r="E107" s="7" t="n">
        <f aca="false">D107*가정!$B$20</f>
        <v>8400000</v>
      </c>
      <c r="F107" s="7" t="n">
        <f aca="false">A107*가정!$B$22+B107*가정!$B$23</f>
        <v>2472000</v>
      </c>
      <c r="G107" s="7" t="n">
        <f aca="false">B107*가정!$B$24</f>
        <v>0</v>
      </c>
      <c r="H107" s="7" t="n">
        <f aca="false">B107-C107-E107-F107-G107</f>
        <v>11428000</v>
      </c>
      <c r="I107" s="7" t="n">
        <f aca="false">H107-IF(가정!$B$7=1,가정!$B$5,0)</f>
        <v>11428000</v>
      </c>
      <c r="J107" s="7" t="n">
        <f aca="false">MAX(0,I107)*가정!$B$6</f>
        <v>10285200</v>
      </c>
      <c r="K107" s="7" t="n">
        <f aca="false">가정!$B$5+J107</f>
        <v>10285200</v>
      </c>
      <c r="L107" s="7" t="n">
        <f aca="false">H107-K107</f>
        <v>1142800</v>
      </c>
      <c r="M107" s="8" t="n">
        <f aca="false">IF(B107=0,0,K107/B107)</f>
        <v>0.332854368932039</v>
      </c>
      <c r="N107" s="7" t="n">
        <f aca="false">K107/가정!$B$8</f>
        <v>51426</v>
      </c>
      <c r="O107" s="7" t="n">
        <f aca="false">IF(I107&gt;0,A107,"")</f>
        <v>103</v>
      </c>
      <c r="P107" s="7" t="n">
        <f aca="false">IF(L107&gt;=0,A107,"")</f>
        <v>103</v>
      </c>
      <c r="Q107" s="7" t="n">
        <f aca="false">IF(K107&gt;=가정!$B$28,A107,"")</f>
        <v>103</v>
      </c>
      <c r="R107" s="7" t="str">
        <f aca="false">IF(MAX(0,I107)*(1-가정!$B$6)*'1억 상환'!$B$6&gt;='1억 상환'!$B$5,A107,"")</f>
        <v/>
      </c>
    </row>
    <row r="108" customFormat="false" ht="15" hidden="false" customHeight="false" outlineLevel="0" collapsed="false">
      <c r="A108" s="7" t="n">
        <v>104</v>
      </c>
      <c r="B108" s="7" t="n">
        <f aca="false">A108*가정!$B$10</f>
        <v>31200000</v>
      </c>
      <c r="C108" s="7" t="n">
        <f aca="false">가정!$B$30</f>
        <v>8600000</v>
      </c>
      <c r="D108" s="7" t="n">
        <f aca="false">ROUNDUP(MAX(0,A108-가정!$B$18)/가정!$B$19,0)</f>
        <v>3</v>
      </c>
      <c r="E108" s="7" t="n">
        <f aca="false">D108*가정!$B$20</f>
        <v>8400000</v>
      </c>
      <c r="F108" s="7" t="n">
        <f aca="false">A108*가정!$B$22+B108*가정!$B$23</f>
        <v>2496000</v>
      </c>
      <c r="G108" s="7" t="n">
        <f aca="false">B108*가정!$B$24</f>
        <v>0</v>
      </c>
      <c r="H108" s="7" t="n">
        <f aca="false">B108-C108-E108-F108-G108</f>
        <v>11704000</v>
      </c>
      <c r="I108" s="7" t="n">
        <f aca="false">H108-IF(가정!$B$7=1,가정!$B$5,0)</f>
        <v>11704000</v>
      </c>
      <c r="J108" s="7" t="n">
        <f aca="false">MAX(0,I108)*가정!$B$6</f>
        <v>10533600</v>
      </c>
      <c r="K108" s="7" t="n">
        <f aca="false">가정!$B$5+J108</f>
        <v>10533600</v>
      </c>
      <c r="L108" s="7" t="n">
        <f aca="false">H108-K108</f>
        <v>1170400</v>
      </c>
      <c r="M108" s="8" t="n">
        <f aca="false">IF(B108=0,0,K108/B108)</f>
        <v>0.337615384615385</v>
      </c>
      <c r="N108" s="7" t="n">
        <f aca="false">K108/가정!$B$8</f>
        <v>52668</v>
      </c>
      <c r="O108" s="7" t="n">
        <f aca="false">IF(I108&gt;0,A108,"")</f>
        <v>104</v>
      </c>
      <c r="P108" s="7" t="n">
        <f aca="false">IF(L108&gt;=0,A108,"")</f>
        <v>104</v>
      </c>
      <c r="Q108" s="7" t="n">
        <f aca="false">IF(K108&gt;=가정!$B$28,A108,"")</f>
        <v>104</v>
      </c>
      <c r="R108" s="7" t="str">
        <f aca="false">IF(MAX(0,I108)*(1-가정!$B$6)*'1억 상환'!$B$6&gt;='1억 상환'!$B$5,A108,"")</f>
        <v/>
      </c>
    </row>
    <row r="109" customFormat="false" ht="15" hidden="false" customHeight="false" outlineLevel="0" collapsed="false">
      <c r="A109" s="7" t="n">
        <v>105</v>
      </c>
      <c r="B109" s="7" t="n">
        <f aca="false">A109*가정!$B$10</f>
        <v>31500000</v>
      </c>
      <c r="C109" s="7" t="n">
        <f aca="false">가정!$B$30</f>
        <v>8600000</v>
      </c>
      <c r="D109" s="7" t="n">
        <f aca="false">ROUNDUP(MAX(0,A109-가정!$B$18)/가정!$B$19,0)</f>
        <v>3</v>
      </c>
      <c r="E109" s="7" t="n">
        <f aca="false">D109*가정!$B$20</f>
        <v>8400000</v>
      </c>
      <c r="F109" s="7" t="n">
        <f aca="false">A109*가정!$B$22+B109*가정!$B$23</f>
        <v>2520000</v>
      </c>
      <c r="G109" s="7" t="n">
        <f aca="false">B109*가정!$B$24</f>
        <v>0</v>
      </c>
      <c r="H109" s="7" t="n">
        <f aca="false">B109-C109-E109-F109-G109</f>
        <v>11980000</v>
      </c>
      <c r="I109" s="7" t="n">
        <f aca="false">H109-IF(가정!$B$7=1,가정!$B$5,0)</f>
        <v>11980000</v>
      </c>
      <c r="J109" s="7" t="n">
        <f aca="false">MAX(0,I109)*가정!$B$6</f>
        <v>10782000</v>
      </c>
      <c r="K109" s="7" t="n">
        <f aca="false">가정!$B$5+J109</f>
        <v>10782000</v>
      </c>
      <c r="L109" s="7" t="n">
        <f aca="false">H109-K109</f>
        <v>1198000</v>
      </c>
      <c r="M109" s="8" t="n">
        <f aca="false">IF(B109=0,0,K109/B109)</f>
        <v>0.342285714285714</v>
      </c>
      <c r="N109" s="7" t="n">
        <f aca="false">K109/가정!$B$8</f>
        <v>53910</v>
      </c>
      <c r="O109" s="7" t="n">
        <f aca="false">IF(I109&gt;0,A109,"")</f>
        <v>105</v>
      </c>
      <c r="P109" s="7" t="n">
        <f aca="false">IF(L109&gt;=0,A109,"")</f>
        <v>105</v>
      </c>
      <c r="Q109" s="7" t="n">
        <f aca="false">IF(K109&gt;=가정!$B$28,A109,"")</f>
        <v>105</v>
      </c>
      <c r="R109" s="7" t="str">
        <f aca="false">IF(MAX(0,I109)*(1-가정!$B$6)*'1억 상환'!$B$6&gt;='1억 상환'!$B$5,A109,"")</f>
        <v/>
      </c>
    </row>
    <row r="110" customFormat="false" ht="15" hidden="false" customHeight="false" outlineLevel="0" collapsed="false">
      <c r="A110" s="7" t="n">
        <v>106</v>
      </c>
      <c r="B110" s="7" t="n">
        <f aca="false">A110*가정!$B$10</f>
        <v>31800000</v>
      </c>
      <c r="C110" s="7" t="n">
        <f aca="false">가정!$B$30</f>
        <v>8600000</v>
      </c>
      <c r="D110" s="7" t="n">
        <f aca="false">ROUNDUP(MAX(0,A110-가정!$B$18)/가정!$B$19,0)</f>
        <v>3</v>
      </c>
      <c r="E110" s="7" t="n">
        <f aca="false">D110*가정!$B$20</f>
        <v>8400000</v>
      </c>
      <c r="F110" s="7" t="n">
        <f aca="false">A110*가정!$B$22+B110*가정!$B$23</f>
        <v>2544000</v>
      </c>
      <c r="G110" s="7" t="n">
        <f aca="false">B110*가정!$B$24</f>
        <v>0</v>
      </c>
      <c r="H110" s="7" t="n">
        <f aca="false">B110-C110-E110-F110-G110</f>
        <v>12256000</v>
      </c>
      <c r="I110" s="7" t="n">
        <f aca="false">H110-IF(가정!$B$7=1,가정!$B$5,0)</f>
        <v>12256000</v>
      </c>
      <c r="J110" s="7" t="n">
        <f aca="false">MAX(0,I110)*가정!$B$6</f>
        <v>11030400</v>
      </c>
      <c r="K110" s="7" t="n">
        <f aca="false">가정!$B$5+J110</f>
        <v>11030400</v>
      </c>
      <c r="L110" s="7" t="n">
        <f aca="false">H110-K110</f>
        <v>1225600</v>
      </c>
      <c r="M110" s="8" t="n">
        <f aca="false">IF(B110=0,0,K110/B110)</f>
        <v>0.346867924528302</v>
      </c>
      <c r="N110" s="7" t="n">
        <f aca="false">K110/가정!$B$8</f>
        <v>55152</v>
      </c>
      <c r="O110" s="7" t="n">
        <f aca="false">IF(I110&gt;0,A110,"")</f>
        <v>106</v>
      </c>
      <c r="P110" s="7" t="n">
        <f aca="false">IF(L110&gt;=0,A110,"")</f>
        <v>106</v>
      </c>
      <c r="Q110" s="7" t="n">
        <f aca="false">IF(K110&gt;=가정!$B$28,A110,"")</f>
        <v>106</v>
      </c>
      <c r="R110" s="7" t="str">
        <f aca="false">IF(MAX(0,I110)*(1-가정!$B$6)*'1억 상환'!$B$6&gt;='1억 상환'!$B$5,A110,"")</f>
        <v/>
      </c>
    </row>
    <row r="111" customFormat="false" ht="15" hidden="false" customHeight="false" outlineLevel="0" collapsed="false">
      <c r="A111" s="7" t="n">
        <v>107</v>
      </c>
      <c r="B111" s="7" t="n">
        <f aca="false">A111*가정!$B$10</f>
        <v>32100000</v>
      </c>
      <c r="C111" s="7" t="n">
        <f aca="false">가정!$B$30</f>
        <v>8600000</v>
      </c>
      <c r="D111" s="7" t="n">
        <f aca="false">ROUNDUP(MAX(0,A111-가정!$B$18)/가정!$B$19,0)</f>
        <v>3</v>
      </c>
      <c r="E111" s="7" t="n">
        <f aca="false">D111*가정!$B$20</f>
        <v>8400000</v>
      </c>
      <c r="F111" s="7" t="n">
        <f aca="false">A111*가정!$B$22+B111*가정!$B$23</f>
        <v>2568000</v>
      </c>
      <c r="G111" s="7" t="n">
        <f aca="false">B111*가정!$B$24</f>
        <v>0</v>
      </c>
      <c r="H111" s="7" t="n">
        <f aca="false">B111-C111-E111-F111-G111</f>
        <v>12532000</v>
      </c>
      <c r="I111" s="7" t="n">
        <f aca="false">H111-IF(가정!$B$7=1,가정!$B$5,0)</f>
        <v>12532000</v>
      </c>
      <c r="J111" s="7" t="n">
        <f aca="false">MAX(0,I111)*가정!$B$6</f>
        <v>11278800</v>
      </c>
      <c r="K111" s="7" t="n">
        <f aca="false">가정!$B$5+J111</f>
        <v>11278800</v>
      </c>
      <c r="L111" s="7" t="n">
        <f aca="false">H111-K111</f>
        <v>1253200</v>
      </c>
      <c r="M111" s="8" t="n">
        <f aca="false">IF(B111=0,0,K111/B111)</f>
        <v>0.351364485981308</v>
      </c>
      <c r="N111" s="7" t="n">
        <f aca="false">K111/가정!$B$8</f>
        <v>56394</v>
      </c>
      <c r="O111" s="7" t="n">
        <f aca="false">IF(I111&gt;0,A111,"")</f>
        <v>107</v>
      </c>
      <c r="P111" s="7" t="n">
        <f aca="false">IF(L111&gt;=0,A111,"")</f>
        <v>107</v>
      </c>
      <c r="Q111" s="7" t="n">
        <f aca="false">IF(K111&gt;=가정!$B$28,A111,"")</f>
        <v>107</v>
      </c>
      <c r="R111" s="7" t="str">
        <f aca="false">IF(MAX(0,I111)*(1-가정!$B$6)*'1억 상환'!$B$6&gt;='1억 상환'!$B$5,A111,"")</f>
        <v/>
      </c>
    </row>
    <row r="112" customFormat="false" ht="15" hidden="false" customHeight="false" outlineLevel="0" collapsed="false">
      <c r="A112" s="7" t="n">
        <v>108</v>
      </c>
      <c r="B112" s="7" t="n">
        <f aca="false">A112*가정!$B$10</f>
        <v>32400000</v>
      </c>
      <c r="C112" s="7" t="n">
        <f aca="false">가정!$B$30</f>
        <v>8600000</v>
      </c>
      <c r="D112" s="7" t="n">
        <f aca="false">ROUNDUP(MAX(0,A112-가정!$B$18)/가정!$B$19,0)</f>
        <v>3</v>
      </c>
      <c r="E112" s="7" t="n">
        <f aca="false">D112*가정!$B$20</f>
        <v>8400000</v>
      </c>
      <c r="F112" s="7" t="n">
        <f aca="false">A112*가정!$B$22+B112*가정!$B$23</f>
        <v>2592000</v>
      </c>
      <c r="G112" s="7" t="n">
        <f aca="false">B112*가정!$B$24</f>
        <v>0</v>
      </c>
      <c r="H112" s="7" t="n">
        <f aca="false">B112-C112-E112-F112-G112</f>
        <v>12808000</v>
      </c>
      <c r="I112" s="7" t="n">
        <f aca="false">H112-IF(가정!$B$7=1,가정!$B$5,0)</f>
        <v>12808000</v>
      </c>
      <c r="J112" s="7" t="n">
        <f aca="false">MAX(0,I112)*가정!$B$6</f>
        <v>11527200</v>
      </c>
      <c r="K112" s="7" t="n">
        <f aca="false">가정!$B$5+J112</f>
        <v>11527200</v>
      </c>
      <c r="L112" s="7" t="n">
        <f aca="false">H112-K112</f>
        <v>1280800</v>
      </c>
      <c r="M112" s="8" t="n">
        <f aca="false">IF(B112=0,0,K112/B112)</f>
        <v>0.355777777777778</v>
      </c>
      <c r="N112" s="7" t="n">
        <f aca="false">K112/가정!$B$8</f>
        <v>57636</v>
      </c>
      <c r="O112" s="7" t="n">
        <f aca="false">IF(I112&gt;0,A112,"")</f>
        <v>108</v>
      </c>
      <c r="P112" s="7" t="n">
        <f aca="false">IF(L112&gt;=0,A112,"")</f>
        <v>108</v>
      </c>
      <c r="Q112" s="7" t="n">
        <f aca="false">IF(K112&gt;=가정!$B$28,A112,"")</f>
        <v>108</v>
      </c>
      <c r="R112" s="7" t="str">
        <f aca="false">IF(MAX(0,I112)*(1-가정!$B$6)*'1억 상환'!$B$6&gt;='1억 상환'!$B$5,A112,"")</f>
        <v/>
      </c>
    </row>
    <row r="113" customFormat="false" ht="15" hidden="false" customHeight="false" outlineLevel="0" collapsed="false">
      <c r="A113" s="7" t="n">
        <v>109</v>
      </c>
      <c r="B113" s="7" t="n">
        <f aca="false">A113*가정!$B$10</f>
        <v>32700000</v>
      </c>
      <c r="C113" s="7" t="n">
        <f aca="false">가정!$B$30</f>
        <v>8600000</v>
      </c>
      <c r="D113" s="7" t="n">
        <f aca="false">ROUNDUP(MAX(0,A113-가정!$B$18)/가정!$B$19,0)</f>
        <v>3</v>
      </c>
      <c r="E113" s="7" t="n">
        <f aca="false">D113*가정!$B$20</f>
        <v>8400000</v>
      </c>
      <c r="F113" s="7" t="n">
        <f aca="false">A113*가정!$B$22+B113*가정!$B$23</f>
        <v>2616000</v>
      </c>
      <c r="G113" s="7" t="n">
        <f aca="false">B113*가정!$B$24</f>
        <v>0</v>
      </c>
      <c r="H113" s="7" t="n">
        <f aca="false">B113-C113-E113-F113-G113</f>
        <v>13084000</v>
      </c>
      <c r="I113" s="7" t="n">
        <f aca="false">H113-IF(가정!$B$7=1,가정!$B$5,0)</f>
        <v>13084000</v>
      </c>
      <c r="J113" s="7" t="n">
        <f aca="false">MAX(0,I113)*가정!$B$6</f>
        <v>11775600</v>
      </c>
      <c r="K113" s="7" t="n">
        <f aca="false">가정!$B$5+J113</f>
        <v>11775600</v>
      </c>
      <c r="L113" s="7" t="n">
        <f aca="false">H113-K113</f>
        <v>1308400</v>
      </c>
      <c r="M113" s="8" t="n">
        <f aca="false">IF(B113=0,0,K113/B113)</f>
        <v>0.360110091743119</v>
      </c>
      <c r="N113" s="7" t="n">
        <f aca="false">K113/가정!$B$8</f>
        <v>58878</v>
      </c>
      <c r="O113" s="7" t="n">
        <f aca="false">IF(I113&gt;0,A113,"")</f>
        <v>109</v>
      </c>
      <c r="P113" s="7" t="n">
        <f aca="false">IF(L113&gt;=0,A113,"")</f>
        <v>109</v>
      </c>
      <c r="Q113" s="7" t="n">
        <f aca="false">IF(K113&gt;=가정!$B$28,A113,"")</f>
        <v>109</v>
      </c>
      <c r="R113" s="7" t="str">
        <f aca="false">IF(MAX(0,I113)*(1-가정!$B$6)*'1억 상환'!$B$6&gt;='1억 상환'!$B$5,A113,"")</f>
        <v/>
      </c>
    </row>
    <row r="114" customFormat="false" ht="15" hidden="false" customHeight="false" outlineLevel="0" collapsed="false">
      <c r="A114" s="7" t="n">
        <v>110</v>
      </c>
      <c r="B114" s="7" t="n">
        <f aca="false">A114*가정!$B$10</f>
        <v>33000000</v>
      </c>
      <c r="C114" s="7" t="n">
        <f aca="false">가정!$B$30</f>
        <v>8600000</v>
      </c>
      <c r="D114" s="7" t="n">
        <f aca="false">ROUNDUP(MAX(0,A114-가정!$B$18)/가정!$B$19,0)</f>
        <v>3</v>
      </c>
      <c r="E114" s="7" t="n">
        <f aca="false">D114*가정!$B$20</f>
        <v>8400000</v>
      </c>
      <c r="F114" s="7" t="n">
        <f aca="false">A114*가정!$B$22+B114*가정!$B$23</f>
        <v>2640000</v>
      </c>
      <c r="G114" s="7" t="n">
        <f aca="false">B114*가정!$B$24</f>
        <v>0</v>
      </c>
      <c r="H114" s="7" t="n">
        <f aca="false">B114-C114-E114-F114-G114</f>
        <v>13360000</v>
      </c>
      <c r="I114" s="7" t="n">
        <f aca="false">H114-IF(가정!$B$7=1,가정!$B$5,0)</f>
        <v>13360000</v>
      </c>
      <c r="J114" s="7" t="n">
        <f aca="false">MAX(0,I114)*가정!$B$6</f>
        <v>12024000</v>
      </c>
      <c r="K114" s="7" t="n">
        <f aca="false">가정!$B$5+J114</f>
        <v>12024000</v>
      </c>
      <c r="L114" s="7" t="n">
        <f aca="false">H114-K114</f>
        <v>1336000</v>
      </c>
      <c r="M114" s="8" t="n">
        <f aca="false">IF(B114=0,0,K114/B114)</f>
        <v>0.364363636363636</v>
      </c>
      <c r="N114" s="7" t="n">
        <f aca="false">K114/가정!$B$8</f>
        <v>60120</v>
      </c>
      <c r="O114" s="7" t="n">
        <f aca="false">IF(I114&gt;0,A114,"")</f>
        <v>110</v>
      </c>
      <c r="P114" s="7" t="n">
        <f aca="false">IF(L114&gt;=0,A114,"")</f>
        <v>110</v>
      </c>
      <c r="Q114" s="7" t="n">
        <f aca="false">IF(K114&gt;=가정!$B$28,A114,"")</f>
        <v>110</v>
      </c>
      <c r="R114" s="7" t="str">
        <f aca="false">IF(MAX(0,I114)*(1-가정!$B$6)*'1억 상환'!$B$6&gt;='1억 상환'!$B$5,A114,"")</f>
        <v/>
      </c>
    </row>
    <row r="115" customFormat="false" ht="15" hidden="false" customHeight="false" outlineLevel="0" collapsed="false">
      <c r="A115" s="7" t="n">
        <v>111</v>
      </c>
      <c r="B115" s="7" t="n">
        <f aca="false">A115*가정!$B$10</f>
        <v>33300000</v>
      </c>
      <c r="C115" s="7" t="n">
        <f aca="false">가정!$B$30</f>
        <v>8600000</v>
      </c>
      <c r="D115" s="7" t="n">
        <f aca="false">ROUNDUP(MAX(0,A115-가정!$B$18)/가정!$B$19,0)</f>
        <v>4</v>
      </c>
      <c r="E115" s="7" t="n">
        <f aca="false">D115*가정!$B$20</f>
        <v>11200000</v>
      </c>
      <c r="F115" s="7" t="n">
        <f aca="false">A115*가정!$B$22+B115*가정!$B$23</f>
        <v>2664000</v>
      </c>
      <c r="G115" s="7" t="n">
        <f aca="false">B115*가정!$B$24</f>
        <v>0</v>
      </c>
      <c r="H115" s="7" t="n">
        <f aca="false">B115-C115-E115-F115-G115</f>
        <v>10836000</v>
      </c>
      <c r="I115" s="7" t="n">
        <f aca="false">H115-IF(가정!$B$7=1,가정!$B$5,0)</f>
        <v>10836000</v>
      </c>
      <c r="J115" s="7" t="n">
        <f aca="false">MAX(0,I115)*가정!$B$6</f>
        <v>9752400</v>
      </c>
      <c r="K115" s="7" t="n">
        <f aca="false">가정!$B$5+J115</f>
        <v>9752400</v>
      </c>
      <c r="L115" s="7" t="n">
        <f aca="false">H115-K115</f>
        <v>1083600</v>
      </c>
      <c r="M115" s="8" t="n">
        <f aca="false">IF(B115=0,0,K115/B115)</f>
        <v>0.292864864864865</v>
      </c>
      <c r="N115" s="7" t="n">
        <f aca="false">K115/가정!$B$8</f>
        <v>48762</v>
      </c>
      <c r="O115" s="7" t="n">
        <f aca="false">IF(I115&gt;0,A115,"")</f>
        <v>111</v>
      </c>
      <c r="P115" s="7" t="n">
        <f aca="false">IF(L115&gt;=0,A115,"")</f>
        <v>111</v>
      </c>
      <c r="Q115" s="7" t="n">
        <f aca="false">IF(K115&gt;=가정!$B$28,A115,"")</f>
        <v>111</v>
      </c>
      <c r="R115" s="7" t="str">
        <f aca="false">IF(MAX(0,I115)*(1-가정!$B$6)*'1억 상환'!$B$6&gt;='1억 상환'!$B$5,A115,"")</f>
        <v/>
      </c>
    </row>
    <row r="116" customFormat="false" ht="15" hidden="false" customHeight="false" outlineLevel="0" collapsed="false">
      <c r="A116" s="7" t="n">
        <v>112</v>
      </c>
      <c r="B116" s="7" t="n">
        <f aca="false">A116*가정!$B$10</f>
        <v>33600000</v>
      </c>
      <c r="C116" s="7" t="n">
        <f aca="false">가정!$B$30</f>
        <v>8600000</v>
      </c>
      <c r="D116" s="7" t="n">
        <f aca="false">ROUNDUP(MAX(0,A116-가정!$B$18)/가정!$B$19,0)</f>
        <v>4</v>
      </c>
      <c r="E116" s="7" t="n">
        <f aca="false">D116*가정!$B$20</f>
        <v>11200000</v>
      </c>
      <c r="F116" s="7" t="n">
        <f aca="false">A116*가정!$B$22+B116*가정!$B$23</f>
        <v>2688000</v>
      </c>
      <c r="G116" s="7" t="n">
        <f aca="false">B116*가정!$B$24</f>
        <v>0</v>
      </c>
      <c r="H116" s="7" t="n">
        <f aca="false">B116-C116-E116-F116-G116</f>
        <v>11112000</v>
      </c>
      <c r="I116" s="7" t="n">
        <f aca="false">H116-IF(가정!$B$7=1,가정!$B$5,0)</f>
        <v>11112000</v>
      </c>
      <c r="J116" s="7" t="n">
        <f aca="false">MAX(0,I116)*가정!$B$6</f>
        <v>10000800</v>
      </c>
      <c r="K116" s="7" t="n">
        <f aca="false">가정!$B$5+J116</f>
        <v>10000800</v>
      </c>
      <c r="L116" s="7" t="n">
        <f aca="false">H116-K116</f>
        <v>1111200</v>
      </c>
      <c r="M116" s="8" t="n">
        <f aca="false">IF(B116=0,0,K116/B116)</f>
        <v>0.297642857142857</v>
      </c>
      <c r="N116" s="7" t="n">
        <f aca="false">K116/가정!$B$8</f>
        <v>50004</v>
      </c>
      <c r="O116" s="7" t="n">
        <f aca="false">IF(I116&gt;0,A116,"")</f>
        <v>112</v>
      </c>
      <c r="P116" s="7" t="n">
        <f aca="false">IF(L116&gt;=0,A116,"")</f>
        <v>112</v>
      </c>
      <c r="Q116" s="7" t="n">
        <f aca="false">IF(K116&gt;=가정!$B$28,A116,"")</f>
        <v>112</v>
      </c>
      <c r="R116" s="7" t="str">
        <f aca="false">IF(MAX(0,I116)*(1-가정!$B$6)*'1억 상환'!$B$6&gt;='1억 상환'!$B$5,A116,"")</f>
        <v/>
      </c>
    </row>
    <row r="117" customFormat="false" ht="15" hidden="false" customHeight="false" outlineLevel="0" collapsed="false">
      <c r="A117" s="7" t="n">
        <v>113</v>
      </c>
      <c r="B117" s="7" t="n">
        <f aca="false">A117*가정!$B$10</f>
        <v>33900000</v>
      </c>
      <c r="C117" s="7" t="n">
        <f aca="false">가정!$B$30</f>
        <v>8600000</v>
      </c>
      <c r="D117" s="7" t="n">
        <f aca="false">ROUNDUP(MAX(0,A117-가정!$B$18)/가정!$B$19,0)</f>
        <v>4</v>
      </c>
      <c r="E117" s="7" t="n">
        <f aca="false">D117*가정!$B$20</f>
        <v>11200000</v>
      </c>
      <c r="F117" s="7" t="n">
        <f aca="false">A117*가정!$B$22+B117*가정!$B$23</f>
        <v>2712000</v>
      </c>
      <c r="G117" s="7" t="n">
        <f aca="false">B117*가정!$B$24</f>
        <v>0</v>
      </c>
      <c r="H117" s="7" t="n">
        <f aca="false">B117-C117-E117-F117-G117</f>
        <v>11388000</v>
      </c>
      <c r="I117" s="7" t="n">
        <f aca="false">H117-IF(가정!$B$7=1,가정!$B$5,0)</f>
        <v>11388000</v>
      </c>
      <c r="J117" s="7" t="n">
        <f aca="false">MAX(0,I117)*가정!$B$6</f>
        <v>10249200</v>
      </c>
      <c r="K117" s="7" t="n">
        <f aca="false">가정!$B$5+J117</f>
        <v>10249200</v>
      </c>
      <c r="L117" s="7" t="n">
        <f aca="false">H117-K117</f>
        <v>1138800</v>
      </c>
      <c r="M117" s="8" t="n">
        <f aca="false">IF(B117=0,0,K117/B117)</f>
        <v>0.302336283185841</v>
      </c>
      <c r="N117" s="7" t="n">
        <f aca="false">K117/가정!$B$8</f>
        <v>51246</v>
      </c>
      <c r="O117" s="7" t="n">
        <f aca="false">IF(I117&gt;0,A117,"")</f>
        <v>113</v>
      </c>
      <c r="P117" s="7" t="n">
        <f aca="false">IF(L117&gt;=0,A117,"")</f>
        <v>113</v>
      </c>
      <c r="Q117" s="7" t="n">
        <f aca="false">IF(K117&gt;=가정!$B$28,A117,"")</f>
        <v>113</v>
      </c>
      <c r="R117" s="7" t="str">
        <f aca="false">IF(MAX(0,I117)*(1-가정!$B$6)*'1억 상환'!$B$6&gt;='1억 상환'!$B$5,A117,"")</f>
        <v/>
      </c>
    </row>
    <row r="118" customFormat="false" ht="15" hidden="false" customHeight="false" outlineLevel="0" collapsed="false">
      <c r="A118" s="7" t="n">
        <v>114</v>
      </c>
      <c r="B118" s="7" t="n">
        <f aca="false">A118*가정!$B$10</f>
        <v>34200000</v>
      </c>
      <c r="C118" s="7" t="n">
        <f aca="false">가정!$B$30</f>
        <v>8600000</v>
      </c>
      <c r="D118" s="7" t="n">
        <f aca="false">ROUNDUP(MAX(0,A118-가정!$B$18)/가정!$B$19,0)</f>
        <v>4</v>
      </c>
      <c r="E118" s="7" t="n">
        <f aca="false">D118*가정!$B$20</f>
        <v>11200000</v>
      </c>
      <c r="F118" s="7" t="n">
        <f aca="false">A118*가정!$B$22+B118*가정!$B$23</f>
        <v>2736000</v>
      </c>
      <c r="G118" s="7" t="n">
        <f aca="false">B118*가정!$B$24</f>
        <v>0</v>
      </c>
      <c r="H118" s="7" t="n">
        <f aca="false">B118-C118-E118-F118-G118</f>
        <v>11664000</v>
      </c>
      <c r="I118" s="7" t="n">
        <f aca="false">H118-IF(가정!$B$7=1,가정!$B$5,0)</f>
        <v>11664000</v>
      </c>
      <c r="J118" s="7" t="n">
        <f aca="false">MAX(0,I118)*가정!$B$6</f>
        <v>10497600</v>
      </c>
      <c r="K118" s="7" t="n">
        <f aca="false">가정!$B$5+J118</f>
        <v>10497600</v>
      </c>
      <c r="L118" s="7" t="n">
        <f aca="false">H118-K118</f>
        <v>1166400</v>
      </c>
      <c r="M118" s="8" t="n">
        <f aca="false">IF(B118=0,0,K118/B118)</f>
        <v>0.306947368421053</v>
      </c>
      <c r="N118" s="7" t="n">
        <f aca="false">K118/가정!$B$8</f>
        <v>52488</v>
      </c>
      <c r="O118" s="7" t="n">
        <f aca="false">IF(I118&gt;0,A118,"")</f>
        <v>114</v>
      </c>
      <c r="P118" s="7" t="n">
        <f aca="false">IF(L118&gt;=0,A118,"")</f>
        <v>114</v>
      </c>
      <c r="Q118" s="7" t="n">
        <f aca="false">IF(K118&gt;=가정!$B$28,A118,"")</f>
        <v>114</v>
      </c>
      <c r="R118" s="7" t="str">
        <f aca="false">IF(MAX(0,I118)*(1-가정!$B$6)*'1억 상환'!$B$6&gt;='1억 상환'!$B$5,A118,"")</f>
        <v/>
      </c>
    </row>
    <row r="119" customFormat="false" ht="15" hidden="false" customHeight="false" outlineLevel="0" collapsed="false">
      <c r="A119" s="7" t="n">
        <v>115</v>
      </c>
      <c r="B119" s="7" t="n">
        <f aca="false">A119*가정!$B$10</f>
        <v>34500000</v>
      </c>
      <c r="C119" s="7" t="n">
        <f aca="false">가정!$B$30</f>
        <v>8600000</v>
      </c>
      <c r="D119" s="7" t="n">
        <f aca="false">ROUNDUP(MAX(0,A119-가정!$B$18)/가정!$B$19,0)</f>
        <v>4</v>
      </c>
      <c r="E119" s="7" t="n">
        <f aca="false">D119*가정!$B$20</f>
        <v>11200000</v>
      </c>
      <c r="F119" s="7" t="n">
        <f aca="false">A119*가정!$B$22+B119*가정!$B$23</f>
        <v>2760000</v>
      </c>
      <c r="G119" s="7" t="n">
        <f aca="false">B119*가정!$B$24</f>
        <v>0</v>
      </c>
      <c r="H119" s="7" t="n">
        <f aca="false">B119-C119-E119-F119-G119</f>
        <v>11940000</v>
      </c>
      <c r="I119" s="7" t="n">
        <f aca="false">H119-IF(가정!$B$7=1,가정!$B$5,0)</f>
        <v>11940000</v>
      </c>
      <c r="J119" s="7" t="n">
        <f aca="false">MAX(0,I119)*가정!$B$6</f>
        <v>10746000</v>
      </c>
      <c r="K119" s="7" t="n">
        <f aca="false">가정!$B$5+J119</f>
        <v>10746000</v>
      </c>
      <c r="L119" s="7" t="n">
        <f aca="false">H119-K119</f>
        <v>1194000</v>
      </c>
      <c r="M119" s="8" t="n">
        <f aca="false">IF(B119=0,0,K119/B119)</f>
        <v>0.311478260869565</v>
      </c>
      <c r="N119" s="7" t="n">
        <f aca="false">K119/가정!$B$8</f>
        <v>53730</v>
      </c>
      <c r="O119" s="7" t="n">
        <f aca="false">IF(I119&gt;0,A119,"")</f>
        <v>115</v>
      </c>
      <c r="P119" s="7" t="n">
        <f aca="false">IF(L119&gt;=0,A119,"")</f>
        <v>115</v>
      </c>
      <c r="Q119" s="7" t="n">
        <f aca="false">IF(K119&gt;=가정!$B$28,A119,"")</f>
        <v>115</v>
      </c>
      <c r="R119" s="7" t="str">
        <f aca="false">IF(MAX(0,I119)*(1-가정!$B$6)*'1억 상환'!$B$6&gt;='1억 상환'!$B$5,A119,"")</f>
        <v/>
      </c>
    </row>
    <row r="120" customFormat="false" ht="15" hidden="false" customHeight="false" outlineLevel="0" collapsed="false">
      <c r="A120" s="7" t="n">
        <v>116</v>
      </c>
      <c r="B120" s="7" t="n">
        <f aca="false">A120*가정!$B$10</f>
        <v>34800000</v>
      </c>
      <c r="C120" s="7" t="n">
        <f aca="false">가정!$B$30</f>
        <v>8600000</v>
      </c>
      <c r="D120" s="7" t="n">
        <f aca="false">ROUNDUP(MAX(0,A120-가정!$B$18)/가정!$B$19,0)</f>
        <v>4</v>
      </c>
      <c r="E120" s="7" t="n">
        <f aca="false">D120*가정!$B$20</f>
        <v>11200000</v>
      </c>
      <c r="F120" s="7" t="n">
        <f aca="false">A120*가정!$B$22+B120*가정!$B$23</f>
        <v>2784000</v>
      </c>
      <c r="G120" s="7" t="n">
        <f aca="false">B120*가정!$B$24</f>
        <v>0</v>
      </c>
      <c r="H120" s="7" t="n">
        <f aca="false">B120-C120-E120-F120-G120</f>
        <v>12216000</v>
      </c>
      <c r="I120" s="7" t="n">
        <f aca="false">H120-IF(가정!$B$7=1,가정!$B$5,0)</f>
        <v>12216000</v>
      </c>
      <c r="J120" s="7" t="n">
        <f aca="false">MAX(0,I120)*가정!$B$6</f>
        <v>10994400</v>
      </c>
      <c r="K120" s="7" t="n">
        <f aca="false">가정!$B$5+J120</f>
        <v>10994400</v>
      </c>
      <c r="L120" s="7" t="n">
        <f aca="false">H120-K120</f>
        <v>1221600</v>
      </c>
      <c r="M120" s="8" t="n">
        <f aca="false">IF(B120=0,0,K120/B120)</f>
        <v>0.315931034482759</v>
      </c>
      <c r="N120" s="7" t="n">
        <f aca="false">K120/가정!$B$8</f>
        <v>54972</v>
      </c>
      <c r="O120" s="7" t="n">
        <f aca="false">IF(I120&gt;0,A120,"")</f>
        <v>116</v>
      </c>
      <c r="P120" s="7" t="n">
        <f aca="false">IF(L120&gt;=0,A120,"")</f>
        <v>116</v>
      </c>
      <c r="Q120" s="7" t="n">
        <f aca="false">IF(K120&gt;=가정!$B$28,A120,"")</f>
        <v>116</v>
      </c>
      <c r="R120" s="7" t="str">
        <f aca="false">IF(MAX(0,I120)*(1-가정!$B$6)*'1억 상환'!$B$6&gt;='1억 상환'!$B$5,A120,"")</f>
        <v/>
      </c>
    </row>
    <row r="121" customFormat="false" ht="15" hidden="false" customHeight="false" outlineLevel="0" collapsed="false">
      <c r="A121" s="7" t="n">
        <v>117</v>
      </c>
      <c r="B121" s="7" t="n">
        <f aca="false">A121*가정!$B$10</f>
        <v>35100000</v>
      </c>
      <c r="C121" s="7" t="n">
        <f aca="false">가정!$B$30</f>
        <v>8600000</v>
      </c>
      <c r="D121" s="7" t="n">
        <f aca="false">ROUNDUP(MAX(0,A121-가정!$B$18)/가정!$B$19,0)</f>
        <v>4</v>
      </c>
      <c r="E121" s="7" t="n">
        <f aca="false">D121*가정!$B$20</f>
        <v>11200000</v>
      </c>
      <c r="F121" s="7" t="n">
        <f aca="false">A121*가정!$B$22+B121*가정!$B$23</f>
        <v>2808000</v>
      </c>
      <c r="G121" s="7" t="n">
        <f aca="false">B121*가정!$B$24</f>
        <v>0</v>
      </c>
      <c r="H121" s="7" t="n">
        <f aca="false">B121-C121-E121-F121-G121</f>
        <v>12492000</v>
      </c>
      <c r="I121" s="7" t="n">
        <f aca="false">H121-IF(가정!$B$7=1,가정!$B$5,0)</f>
        <v>12492000</v>
      </c>
      <c r="J121" s="7" t="n">
        <f aca="false">MAX(0,I121)*가정!$B$6</f>
        <v>11242800</v>
      </c>
      <c r="K121" s="7" t="n">
        <f aca="false">가정!$B$5+J121</f>
        <v>11242800</v>
      </c>
      <c r="L121" s="7" t="n">
        <f aca="false">H121-K121</f>
        <v>1249200</v>
      </c>
      <c r="M121" s="8" t="n">
        <f aca="false">IF(B121=0,0,K121/B121)</f>
        <v>0.320307692307692</v>
      </c>
      <c r="N121" s="7" t="n">
        <f aca="false">K121/가정!$B$8</f>
        <v>56214</v>
      </c>
      <c r="O121" s="7" t="n">
        <f aca="false">IF(I121&gt;0,A121,"")</f>
        <v>117</v>
      </c>
      <c r="P121" s="7" t="n">
        <f aca="false">IF(L121&gt;=0,A121,"")</f>
        <v>117</v>
      </c>
      <c r="Q121" s="7" t="n">
        <f aca="false">IF(K121&gt;=가정!$B$28,A121,"")</f>
        <v>117</v>
      </c>
      <c r="R121" s="7" t="str">
        <f aca="false">IF(MAX(0,I121)*(1-가정!$B$6)*'1억 상환'!$B$6&gt;='1억 상환'!$B$5,A121,"")</f>
        <v/>
      </c>
    </row>
    <row r="122" customFormat="false" ht="15" hidden="false" customHeight="false" outlineLevel="0" collapsed="false">
      <c r="A122" s="7" t="n">
        <v>118</v>
      </c>
      <c r="B122" s="7" t="n">
        <f aca="false">A122*가정!$B$10</f>
        <v>35400000</v>
      </c>
      <c r="C122" s="7" t="n">
        <f aca="false">가정!$B$30</f>
        <v>8600000</v>
      </c>
      <c r="D122" s="7" t="n">
        <f aca="false">ROUNDUP(MAX(0,A122-가정!$B$18)/가정!$B$19,0)</f>
        <v>4</v>
      </c>
      <c r="E122" s="7" t="n">
        <f aca="false">D122*가정!$B$20</f>
        <v>11200000</v>
      </c>
      <c r="F122" s="7" t="n">
        <f aca="false">A122*가정!$B$22+B122*가정!$B$23</f>
        <v>2832000</v>
      </c>
      <c r="G122" s="7" t="n">
        <f aca="false">B122*가정!$B$24</f>
        <v>0</v>
      </c>
      <c r="H122" s="7" t="n">
        <f aca="false">B122-C122-E122-F122-G122</f>
        <v>12768000</v>
      </c>
      <c r="I122" s="7" t="n">
        <f aca="false">H122-IF(가정!$B$7=1,가정!$B$5,0)</f>
        <v>12768000</v>
      </c>
      <c r="J122" s="7" t="n">
        <f aca="false">MAX(0,I122)*가정!$B$6</f>
        <v>11491200</v>
      </c>
      <c r="K122" s="7" t="n">
        <f aca="false">가정!$B$5+J122</f>
        <v>11491200</v>
      </c>
      <c r="L122" s="7" t="n">
        <f aca="false">H122-K122</f>
        <v>1276800</v>
      </c>
      <c r="M122" s="8" t="n">
        <f aca="false">IF(B122=0,0,K122/B122)</f>
        <v>0.324610169491525</v>
      </c>
      <c r="N122" s="7" t="n">
        <f aca="false">K122/가정!$B$8</f>
        <v>57456</v>
      </c>
      <c r="O122" s="7" t="n">
        <f aca="false">IF(I122&gt;0,A122,"")</f>
        <v>118</v>
      </c>
      <c r="P122" s="7" t="n">
        <f aca="false">IF(L122&gt;=0,A122,"")</f>
        <v>118</v>
      </c>
      <c r="Q122" s="7" t="n">
        <f aca="false">IF(K122&gt;=가정!$B$28,A122,"")</f>
        <v>118</v>
      </c>
      <c r="R122" s="7" t="str">
        <f aca="false">IF(MAX(0,I122)*(1-가정!$B$6)*'1억 상환'!$B$6&gt;='1억 상환'!$B$5,A122,"")</f>
        <v/>
      </c>
    </row>
    <row r="123" customFormat="false" ht="15" hidden="false" customHeight="false" outlineLevel="0" collapsed="false">
      <c r="A123" s="7" t="n">
        <v>119</v>
      </c>
      <c r="B123" s="7" t="n">
        <f aca="false">A123*가정!$B$10</f>
        <v>35700000</v>
      </c>
      <c r="C123" s="7" t="n">
        <f aca="false">가정!$B$30</f>
        <v>8600000</v>
      </c>
      <c r="D123" s="7" t="n">
        <f aca="false">ROUNDUP(MAX(0,A123-가정!$B$18)/가정!$B$19,0)</f>
        <v>4</v>
      </c>
      <c r="E123" s="7" t="n">
        <f aca="false">D123*가정!$B$20</f>
        <v>11200000</v>
      </c>
      <c r="F123" s="7" t="n">
        <f aca="false">A123*가정!$B$22+B123*가정!$B$23</f>
        <v>2856000</v>
      </c>
      <c r="G123" s="7" t="n">
        <f aca="false">B123*가정!$B$24</f>
        <v>0</v>
      </c>
      <c r="H123" s="7" t="n">
        <f aca="false">B123-C123-E123-F123-G123</f>
        <v>13044000</v>
      </c>
      <c r="I123" s="7" t="n">
        <f aca="false">H123-IF(가정!$B$7=1,가정!$B$5,0)</f>
        <v>13044000</v>
      </c>
      <c r="J123" s="7" t="n">
        <f aca="false">MAX(0,I123)*가정!$B$6</f>
        <v>11739600</v>
      </c>
      <c r="K123" s="7" t="n">
        <f aca="false">가정!$B$5+J123</f>
        <v>11739600</v>
      </c>
      <c r="L123" s="7" t="n">
        <f aca="false">H123-K123</f>
        <v>1304400</v>
      </c>
      <c r="M123" s="8" t="n">
        <f aca="false">IF(B123=0,0,K123/B123)</f>
        <v>0.328840336134454</v>
      </c>
      <c r="N123" s="7" t="n">
        <f aca="false">K123/가정!$B$8</f>
        <v>58698</v>
      </c>
      <c r="O123" s="7" t="n">
        <f aca="false">IF(I123&gt;0,A123,"")</f>
        <v>119</v>
      </c>
      <c r="P123" s="7" t="n">
        <f aca="false">IF(L123&gt;=0,A123,"")</f>
        <v>119</v>
      </c>
      <c r="Q123" s="7" t="n">
        <f aca="false">IF(K123&gt;=가정!$B$28,A123,"")</f>
        <v>119</v>
      </c>
      <c r="R123" s="7" t="str">
        <f aca="false">IF(MAX(0,I123)*(1-가정!$B$6)*'1억 상환'!$B$6&gt;='1억 상환'!$B$5,A123,"")</f>
        <v/>
      </c>
    </row>
    <row r="124" customFormat="false" ht="15" hidden="false" customHeight="false" outlineLevel="0" collapsed="false">
      <c r="A124" s="7" t="n">
        <v>120</v>
      </c>
      <c r="B124" s="7" t="n">
        <f aca="false">A124*가정!$B$10</f>
        <v>36000000</v>
      </c>
      <c r="C124" s="7" t="n">
        <f aca="false">가정!$B$30</f>
        <v>8600000</v>
      </c>
      <c r="D124" s="7" t="n">
        <f aca="false">ROUNDUP(MAX(0,A124-가정!$B$18)/가정!$B$19,0)</f>
        <v>4</v>
      </c>
      <c r="E124" s="7" t="n">
        <f aca="false">D124*가정!$B$20</f>
        <v>11200000</v>
      </c>
      <c r="F124" s="7" t="n">
        <f aca="false">A124*가정!$B$22+B124*가정!$B$23</f>
        <v>2880000</v>
      </c>
      <c r="G124" s="7" t="n">
        <f aca="false">B124*가정!$B$24</f>
        <v>0</v>
      </c>
      <c r="H124" s="7" t="n">
        <f aca="false">B124-C124-E124-F124-G124</f>
        <v>13320000</v>
      </c>
      <c r="I124" s="7" t="n">
        <f aca="false">H124-IF(가정!$B$7=1,가정!$B$5,0)</f>
        <v>13320000</v>
      </c>
      <c r="J124" s="7" t="n">
        <f aca="false">MAX(0,I124)*가정!$B$6</f>
        <v>11988000</v>
      </c>
      <c r="K124" s="7" t="n">
        <f aca="false">가정!$B$5+J124</f>
        <v>11988000</v>
      </c>
      <c r="L124" s="7" t="n">
        <f aca="false">H124-K124</f>
        <v>1332000</v>
      </c>
      <c r="M124" s="8" t="n">
        <f aca="false">IF(B124=0,0,K124/B124)</f>
        <v>0.333</v>
      </c>
      <c r="N124" s="7" t="n">
        <f aca="false">K124/가정!$B$8</f>
        <v>59940</v>
      </c>
      <c r="O124" s="7" t="n">
        <f aca="false">IF(I124&gt;0,A124,"")</f>
        <v>120</v>
      </c>
      <c r="P124" s="7" t="n">
        <f aca="false">IF(L124&gt;=0,A124,"")</f>
        <v>120</v>
      </c>
      <c r="Q124" s="7" t="n">
        <f aca="false">IF(K124&gt;=가정!$B$28,A124,"")</f>
        <v>120</v>
      </c>
      <c r="R124" s="7" t="str">
        <f aca="false">IF(MAX(0,I124)*(1-가정!$B$6)*'1억 상환'!$B$6&gt;='1억 상환'!$B$5,A124,"")</f>
        <v/>
      </c>
    </row>
    <row r="125" customFormat="false" ht="15" hidden="false" customHeight="false" outlineLevel="0" collapsed="false">
      <c r="A125" s="7" t="n">
        <v>121</v>
      </c>
      <c r="B125" s="7" t="n">
        <f aca="false">A125*가정!$B$10</f>
        <v>36300000</v>
      </c>
      <c r="C125" s="7" t="n">
        <f aca="false">가정!$B$30</f>
        <v>8600000</v>
      </c>
      <c r="D125" s="7" t="n">
        <f aca="false">ROUNDUP(MAX(0,A125-가정!$B$18)/가정!$B$19,0)</f>
        <v>4</v>
      </c>
      <c r="E125" s="7" t="n">
        <f aca="false">D125*가정!$B$20</f>
        <v>11200000</v>
      </c>
      <c r="F125" s="7" t="n">
        <f aca="false">A125*가정!$B$22+B125*가정!$B$23</f>
        <v>2904000</v>
      </c>
      <c r="G125" s="7" t="n">
        <f aca="false">B125*가정!$B$24</f>
        <v>0</v>
      </c>
      <c r="H125" s="7" t="n">
        <f aca="false">B125-C125-E125-F125-G125</f>
        <v>13596000</v>
      </c>
      <c r="I125" s="7" t="n">
        <f aca="false">H125-IF(가정!$B$7=1,가정!$B$5,0)</f>
        <v>13596000</v>
      </c>
      <c r="J125" s="7" t="n">
        <f aca="false">MAX(0,I125)*가정!$B$6</f>
        <v>12236400</v>
      </c>
      <c r="K125" s="7" t="n">
        <f aca="false">가정!$B$5+J125</f>
        <v>12236400</v>
      </c>
      <c r="L125" s="7" t="n">
        <f aca="false">H125-K125</f>
        <v>1359600</v>
      </c>
      <c r="M125" s="8" t="n">
        <f aca="false">IF(B125=0,0,K125/B125)</f>
        <v>0.337090909090909</v>
      </c>
      <c r="N125" s="7" t="n">
        <f aca="false">K125/가정!$B$8</f>
        <v>61182</v>
      </c>
      <c r="O125" s="7" t="n">
        <f aca="false">IF(I125&gt;0,A125,"")</f>
        <v>121</v>
      </c>
      <c r="P125" s="7" t="n">
        <f aca="false">IF(L125&gt;=0,A125,"")</f>
        <v>121</v>
      </c>
      <c r="Q125" s="7" t="n">
        <f aca="false">IF(K125&gt;=가정!$B$28,A125,"")</f>
        <v>121</v>
      </c>
      <c r="R125" s="7" t="str">
        <f aca="false">IF(MAX(0,I125)*(1-가정!$B$6)*'1억 상환'!$B$6&gt;='1억 상환'!$B$5,A125,"")</f>
        <v/>
      </c>
    </row>
    <row r="126" customFormat="false" ht="15" hidden="false" customHeight="false" outlineLevel="0" collapsed="false">
      <c r="A126" s="7" t="n">
        <v>122</v>
      </c>
      <c r="B126" s="7" t="n">
        <f aca="false">A126*가정!$B$10</f>
        <v>36600000</v>
      </c>
      <c r="C126" s="7" t="n">
        <f aca="false">가정!$B$30</f>
        <v>8600000</v>
      </c>
      <c r="D126" s="7" t="n">
        <f aca="false">ROUNDUP(MAX(0,A126-가정!$B$18)/가정!$B$19,0)</f>
        <v>4</v>
      </c>
      <c r="E126" s="7" t="n">
        <f aca="false">D126*가정!$B$20</f>
        <v>11200000</v>
      </c>
      <c r="F126" s="7" t="n">
        <f aca="false">A126*가정!$B$22+B126*가정!$B$23</f>
        <v>2928000</v>
      </c>
      <c r="G126" s="7" t="n">
        <f aca="false">B126*가정!$B$24</f>
        <v>0</v>
      </c>
      <c r="H126" s="7" t="n">
        <f aca="false">B126-C126-E126-F126-G126</f>
        <v>13872000</v>
      </c>
      <c r="I126" s="7" t="n">
        <f aca="false">H126-IF(가정!$B$7=1,가정!$B$5,0)</f>
        <v>13872000</v>
      </c>
      <c r="J126" s="7" t="n">
        <f aca="false">MAX(0,I126)*가정!$B$6</f>
        <v>12484800</v>
      </c>
      <c r="K126" s="7" t="n">
        <f aca="false">가정!$B$5+J126</f>
        <v>12484800</v>
      </c>
      <c r="L126" s="7" t="n">
        <f aca="false">H126-K126</f>
        <v>1387200</v>
      </c>
      <c r="M126" s="8" t="n">
        <f aca="false">IF(B126=0,0,K126/B126)</f>
        <v>0.341114754098361</v>
      </c>
      <c r="N126" s="7" t="n">
        <f aca="false">K126/가정!$B$8</f>
        <v>62424</v>
      </c>
      <c r="O126" s="7" t="n">
        <f aca="false">IF(I126&gt;0,A126,"")</f>
        <v>122</v>
      </c>
      <c r="P126" s="7" t="n">
        <f aca="false">IF(L126&gt;=0,A126,"")</f>
        <v>122</v>
      </c>
      <c r="Q126" s="7" t="n">
        <f aca="false">IF(K126&gt;=가정!$B$28,A126,"")</f>
        <v>122</v>
      </c>
      <c r="R126" s="7" t="str">
        <f aca="false">IF(MAX(0,I126)*(1-가정!$B$6)*'1억 상환'!$B$6&gt;='1억 상환'!$B$5,A126,"")</f>
        <v/>
      </c>
    </row>
    <row r="127" customFormat="false" ht="15" hidden="false" customHeight="false" outlineLevel="0" collapsed="false">
      <c r="A127" s="7" t="n">
        <v>123</v>
      </c>
      <c r="B127" s="7" t="n">
        <f aca="false">A127*가정!$B$10</f>
        <v>36900000</v>
      </c>
      <c r="C127" s="7" t="n">
        <f aca="false">가정!$B$30</f>
        <v>8600000</v>
      </c>
      <c r="D127" s="7" t="n">
        <f aca="false">ROUNDUP(MAX(0,A127-가정!$B$18)/가정!$B$19,0)</f>
        <v>4</v>
      </c>
      <c r="E127" s="7" t="n">
        <f aca="false">D127*가정!$B$20</f>
        <v>11200000</v>
      </c>
      <c r="F127" s="7" t="n">
        <f aca="false">A127*가정!$B$22+B127*가정!$B$23</f>
        <v>2952000</v>
      </c>
      <c r="G127" s="7" t="n">
        <f aca="false">B127*가정!$B$24</f>
        <v>0</v>
      </c>
      <c r="H127" s="7" t="n">
        <f aca="false">B127-C127-E127-F127-G127</f>
        <v>14148000</v>
      </c>
      <c r="I127" s="7" t="n">
        <f aca="false">H127-IF(가정!$B$7=1,가정!$B$5,0)</f>
        <v>14148000</v>
      </c>
      <c r="J127" s="7" t="n">
        <f aca="false">MAX(0,I127)*가정!$B$6</f>
        <v>12733200</v>
      </c>
      <c r="K127" s="7" t="n">
        <f aca="false">가정!$B$5+J127</f>
        <v>12733200</v>
      </c>
      <c r="L127" s="7" t="n">
        <f aca="false">H127-K127</f>
        <v>1414800</v>
      </c>
      <c r="M127" s="8" t="n">
        <f aca="false">IF(B127=0,0,K127/B127)</f>
        <v>0.345073170731707</v>
      </c>
      <c r="N127" s="7" t="n">
        <f aca="false">K127/가정!$B$8</f>
        <v>63666</v>
      </c>
      <c r="O127" s="7" t="n">
        <f aca="false">IF(I127&gt;0,A127,"")</f>
        <v>123</v>
      </c>
      <c r="P127" s="7" t="n">
        <f aca="false">IF(L127&gt;=0,A127,"")</f>
        <v>123</v>
      </c>
      <c r="Q127" s="7" t="n">
        <f aca="false">IF(K127&gt;=가정!$B$28,A127,"")</f>
        <v>123</v>
      </c>
      <c r="R127" s="7" t="str">
        <f aca="false">IF(MAX(0,I127)*(1-가정!$B$6)*'1억 상환'!$B$6&gt;='1억 상환'!$B$5,A127,"")</f>
        <v/>
      </c>
    </row>
    <row r="128" customFormat="false" ht="15" hidden="false" customHeight="false" outlineLevel="0" collapsed="false">
      <c r="A128" s="7" t="n">
        <v>124</v>
      </c>
      <c r="B128" s="7" t="n">
        <f aca="false">A128*가정!$B$10</f>
        <v>37200000</v>
      </c>
      <c r="C128" s="7" t="n">
        <f aca="false">가정!$B$30</f>
        <v>8600000</v>
      </c>
      <c r="D128" s="7" t="n">
        <f aca="false">ROUNDUP(MAX(0,A128-가정!$B$18)/가정!$B$19,0)</f>
        <v>4</v>
      </c>
      <c r="E128" s="7" t="n">
        <f aca="false">D128*가정!$B$20</f>
        <v>11200000</v>
      </c>
      <c r="F128" s="7" t="n">
        <f aca="false">A128*가정!$B$22+B128*가정!$B$23</f>
        <v>2976000</v>
      </c>
      <c r="G128" s="7" t="n">
        <f aca="false">B128*가정!$B$24</f>
        <v>0</v>
      </c>
      <c r="H128" s="7" t="n">
        <f aca="false">B128-C128-E128-F128-G128</f>
        <v>14424000</v>
      </c>
      <c r="I128" s="7" t="n">
        <f aca="false">H128-IF(가정!$B$7=1,가정!$B$5,0)</f>
        <v>14424000</v>
      </c>
      <c r="J128" s="7" t="n">
        <f aca="false">MAX(0,I128)*가정!$B$6</f>
        <v>12981600</v>
      </c>
      <c r="K128" s="7" t="n">
        <f aca="false">가정!$B$5+J128</f>
        <v>12981600</v>
      </c>
      <c r="L128" s="7" t="n">
        <f aca="false">H128-K128</f>
        <v>1442400</v>
      </c>
      <c r="M128" s="8" t="n">
        <f aca="false">IF(B128=0,0,K128/B128)</f>
        <v>0.348967741935484</v>
      </c>
      <c r="N128" s="7" t="n">
        <f aca="false">K128/가정!$B$8</f>
        <v>64908</v>
      </c>
      <c r="O128" s="7" t="n">
        <f aca="false">IF(I128&gt;0,A128,"")</f>
        <v>124</v>
      </c>
      <c r="P128" s="7" t="n">
        <f aca="false">IF(L128&gt;=0,A128,"")</f>
        <v>124</v>
      </c>
      <c r="Q128" s="7" t="n">
        <f aca="false">IF(K128&gt;=가정!$B$28,A128,"")</f>
        <v>124</v>
      </c>
      <c r="R128" s="7" t="str">
        <f aca="false">IF(MAX(0,I128)*(1-가정!$B$6)*'1억 상환'!$B$6&gt;='1억 상환'!$B$5,A128,"")</f>
        <v/>
      </c>
    </row>
    <row r="129" customFormat="false" ht="15" hidden="false" customHeight="false" outlineLevel="0" collapsed="false">
      <c r="A129" s="7" t="n">
        <v>125</v>
      </c>
      <c r="B129" s="7" t="n">
        <f aca="false">A129*가정!$B$10</f>
        <v>37500000</v>
      </c>
      <c r="C129" s="7" t="n">
        <f aca="false">가정!$B$30</f>
        <v>8600000</v>
      </c>
      <c r="D129" s="7" t="n">
        <f aca="false">ROUNDUP(MAX(0,A129-가정!$B$18)/가정!$B$19,0)</f>
        <v>4</v>
      </c>
      <c r="E129" s="7" t="n">
        <f aca="false">D129*가정!$B$20</f>
        <v>11200000</v>
      </c>
      <c r="F129" s="7" t="n">
        <f aca="false">A129*가정!$B$22+B129*가정!$B$23</f>
        <v>3000000</v>
      </c>
      <c r="G129" s="7" t="n">
        <f aca="false">B129*가정!$B$24</f>
        <v>0</v>
      </c>
      <c r="H129" s="7" t="n">
        <f aca="false">B129-C129-E129-F129-G129</f>
        <v>14700000</v>
      </c>
      <c r="I129" s="7" t="n">
        <f aca="false">H129-IF(가정!$B$7=1,가정!$B$5,0)</f>
        <v>14700000</v>
      </c>
      <c r="J129" s="7" t="n">
        <f aca="false">MAX(0,I129)*가정!$B$6</f>
        <v>13230000</v>
      </c>
      <c r="K129" s="7" t="n">
        <f aca="false">가정!$B$5+J129</f>
        <v>13230000</v>
      </c>
      <c r="L129" s="7" t="n">
        <f aca="false">H129-K129</f>
        <v>1470000</v>
      </c>
      <c r="M129" s="8" t="n">
        <f aca="false">IF(B129=0,0,K129/B129)</f>
        <v>0.3528</v>
      </c>
      <c r="N129" s="7" t="n">
        <f aca="false">K129/가정!$B$8</f>
        <v>66150</v>
      </c>
      <c r="O129" s="7" t="n">
        <f aca="false">IF(I129&gt;0,A129,"")</f>
        <v>125</v>
      </c>
      <c r="P129" s="7" t="n">
        <f aca="false">IF(L129&gt;=0,A129,"")</f>
        <v>125</v>
      </c>
      <c r="Q129" s="7" t="n">
        <f aca="false">IF(K129&gt;=가정!$B$28,A129,"")</f>
        <v>125</v>
      </c>
      <c r="R129" s="7" t="str">
        <f aca="false">IF(MAX(0,I129)*(1-가정!$B$6)*'1억 상환'!$B$6&gt;='1억 상환'!$B$5,A129,"")</f>
        <v/>
      </c>
    </row>
    <row r="130" customFormat="false" ht="15" hidden="false" customHeight="false" outlineLevel="0" collapsed="false">
      <c r="A130" s="7" t="n">
        <v>126</v>
      </c>
      <c r="B130" s="7" t="n">
        <f aca="false">A130*가정!$B$10</f>
        <v>37800000</v>
      </c>
      <c r="C130" s="7" t="n">
        <f aca="false">가정!$B$30</f>
        <v>8600000</v>
      </c>
      <c r="D130" s="7" t="n">
        <f aca="false">ROUNDUP(MAX(0,A130-가정!$B$18)/가정!$B$19,0)</f>
        <v>4</v>
      </c>
      <c r="E130" s="7" t="n">
        <f aca="false">D130*가정!$B$20</f>
        <v>11200000</v>
      </c>
      <c r="F130" s="7" t="n">
        <f aca="false">A130*가정!$B$22+B130*가정!$B$23</f>
        <v>3024000</v>
      </c>
      <c r="G130" s="7" t="n">
        <f aca="false">B130*가정!$B$24</f>
        <v>0</v>
      </c>
      <c r="H130" s="7" t="n">
        <f aca="false">B130-C130-E130-F130-G130</f>
        <v>14976000</v>
      </c>
      <c r="I130" s="7" t="n">
        <f aca="false">H130-IF(가정!$B$7=1,가정!$B$5,0)</f>
        <v>14976000</v>
      </c>
      <c r="J130" s="7" t="n">
        <f aca="false">MAX(0,I130)*가정!$B$6</f>
        <v>13478400</v>
      </c>
      <c r="K130" s="7" t="n">
        <f aca="false">가정!$B$5+J130</f>
        <v>13478400</v>
      </c>
      <c r="L130" s="7" t="n">
        <f aca="false">H130-K130</f>
        <v>1497600</v>
      </c>
      <c r="M130" s="8" t="n">
        <f aca="false">IF(B130=0,0,K130/B130)</f>
        <v>0.356571428571429</v>
      </c>
      <c r="N130" s="7" t="n">
        <f aca="false">K130/가정!$B$8</f>
        <v>67392</v>
      </c>
      <c r="O130" s="7" t="n">
        <f aca="false">IF(I130&gt;0,A130,"")</f>
        <v>126</v>
      </c>
      <c r="P130" s="7" t="n">
        <f aca="false">IF(L130&gt;=0,A130,"")</f>
        <v>126</v>
      </c>
      <c r="Q130" s="7" t="n">
        <f aca="false">IF(K130&gt;=가정!$B$28,A130,"")</f>
        <v>126</v>
      </c>
      <c r="R130" s="7" t="str">
        <f aca="false">IF(MAX(0,I130)*(1-가정!$B$6)*'1억 상환'!$B$6&gt;='1억 상환'!$B$5,A130,"")</f>
        <v/>
      </c>
    </row>
    <row r="131" customFormat="false" ht="15" hidden="false" customHeight="false" outlineLevel="0" collapsed="false">
      <c r="A131" s="7" t="n">
        <v>127</v>
      </c>
      <c r="B131" s="7" t="n">
        <f aca="false">A131*가정!$B$10</f>
        <v>38100000</v>
      </c>
      <c r="C131" s="7" t="n">
        <f aca="false">가정!$B$30</f>
        <v>8600000</v>
      </c>
      <c r="D131" s="7" t="n">
        <f aca="false">ROUNDUP(MAX(0,A131-가정!$B$18)/가정!$B$19,0)</f>
        <v>4</v>
      </c>
      <c r="E131" s="7" t="n">
        <f aca="false">D131*가정!$B$20</f>
        <v>11200000</v>
      </c>
      <c r="F131" s="7" t="n">
        <f aca="false">A131*가정!$B$22+B131*가정!$B$23</f>
        <v>3048000</v>
      </c>
      <c r="G131" s="7" t="n">
        <f aca="false">B131*가정!$B$24</f>
        <v>0</v>
      </c>
      <c r="H131" s="7" t="n">
        <f aca="false">B131-C131-E131-F131-G131</f>
        <v>15252000</v>
      </c>
      <c r="I131" s="7" t="n">
        <f aca="false">H131-IF(가정!$B$7=1,가정!$B$5,0)</f>
        <v>15252000</v>
      </c>
      <c r="J131" s="7" t="n">
        <f aca="false">MAX(0,I131)*가정!$B$6</f>
        <v>13726800</v>
      </c>
      <c r="K131" s="7" t="n">
        <f aca="false">가정!$B$5+J131</f>
        <v>13726800</v>
      </c>
      <c r="L131" s="7" t="n">
        <f aca="false">H131-K131</f>
        <v>1525200</v>
      </c>
      <c r="M131" s="8" t="n">
        <f aca="false">IF(B131=0,0,K131/B131)</f>
        <v>0.360283464566929</v>
      </c>
      <c r="N131" s="7" t="n">
        <f aca="false">K131/가정!$B$8</f>
        <v>68634</v>
      </c>
      <c r="O131" s="7" t="n">
        <f aca="false">IF(I131&gt;0,A131,"")</f>
        <v>127</v>
      </c>
      <c r="P131" s="7" t="n">
        <f aca="false">IF(L131&gt;=0,A131,"")</f>
        <v>127</v>
      </c>
      <c r="Q131" s="7" t="n">
        <f aca="false">IF(K131&gt;=가정!$B$28,A131,"")</f>
        <v>127</v>
      </c>
      <c r="R131" s="7" t="str">
        <f aca="false">IF(MAX(0,I131)*(1-가정!$B$6)*'1억 상환'!$B$6&gt;='1억 상환'!$B$5,A131,"")</f>
        <v/>
      </c>
    </row>
    <row r="132" customFormat="false" ht="15" hidden="false" customHeight="false" outlineLevel="0" collapsed="false">
      <c r="A132" s="7" t="n">
        <v>128</v>
      </c>
      <c r="B132" s="7" t="n">
        <f aca="false">A132*가정!$B$10</f>
        <v>38400000</v>
      </c>
      <c r="C132" s="7" t="n">
        <f aca="false">가정!$B$30</f>
        <v>8600000</v>
      </c>
      <c r="D132" s="7" t="n">
        <f aca="false">ROUNDUP(MAX(0,A132-가정!$B$18)/가정!$B$19,0)</f>
        <v>4</v>
      </c>
      <c r="E132" s="7" t="n">
        <f aca="false">D132*가정!$B$20</f>
        <v>11200000</v>
      </c>
      <c r="F132" s="7" t="n">
        <f aca="false">A132*가정!$B$22+B132*가정!$B$23</f>
        <v>3072000</v>
      </c>
      <c r="G132" s="7" t="n">
        <f aca="false">B132*가정!$B$24</f>
        <v>0</v>
      </c>
      <c r="H132" s="7" t="n">
        <f aca="false">B132-C132-E132-F132-G132</f>
        <v>15528000</v>
      </c>
      <c r="I132" s="7" t="n">
        <f aca="false">H132-IF(가정!$B$7=1,가정!$B$5,0)</f>
        <v>15528000</v>
      </c>
      <c r="J132" s="7" t="n">
        <f aca="false">MAX(0,I132)*가정!$B$6</f>
        <v>13975200</v>
      </c>
      <c r="K132" s="7" t="n">
        <f aca="false">가정!$B$5+J132</f>
        <v>13975200</v>
      </c>
      <c r="L132" s="7" t="n">
        <f aca="false">H132-K132</f>
        <v>1552800</v>
      </c>
      <c r="M132" s="8" t="n">
        <f aca="false">IF(B132=0,0,K132/B132)</f>
        <v>0.3639375</v>
      </c>
      <c r="N132" s="7" t="n">
        <f aca="false">K132/가정!$B$8</f>
        <v>69876</v>
      </c>
      <c r="O132" s="7" t="n">
        <f aca="false">IF(I132&gt;0,A132,"")</f>
        <v>128</v>
      </c>
      <c r="P132" s="7" t="n">
        <f aca="false">IF(L132&gt;=0,A132,"")</f>
        <v>128</v>
      </c>
      <c r="Q132" s="7" t="n">
        <f aca="false">IF(K132&gt;=가정!$B$28,A132,"")</f>
        <v>128</v>
      </c>
      <c r="R132" s="7" t="str">
        <f aca="false">IF(MAX(0,I132)*(1-가정!$B$6)*'1억 상환'!$B$6&gt;='1억 상환'!$B$5,A132,"")</f>
        <v/>
      </c>
    </row>
    <row r="133" customFormat="false" ht="15" hidden="false" customHeight="false" outlineLevel="0" collapsed="false">
      <c r="A133" s="7" t="n">
        <v>129</v>
      </c>
      <c r="B133" s="7" t="n">
        <f aca="false">A133*가정!$B$10</f>
        <v>38700000</v>
      </c>
      <c r="C133" s="7" t="n">
        <f aca="false">가정!$B$30</f>
        <v>8600000</v>
      </c>
      <c r="D133" s="7" t="n">
        <f aca="false">ROUNDUP(MAX(0,A133-가정!$B$18)/가정!$B$19,0)</f>
        <v>4</v>
      </c>
      <c r="E133" s="7" t="n">
        <f aca="false">D133*가정!$B$20</f>
        <v>11200000</v>
      </c>
      <c r="F133" s="7" t="n">
        <f aca="false">A133*가정!$B$22+B133*가정!$B$23</f>
        <v>3096000</v>
      </c>
      <c r="G133" s="7" t="n">
        <f aca="false">B133*가정!$B$24</f>
        <v>0</v>
      </c>
      <c r="H133" s="7" t="n">
        <f aca="false">B133-C133-E133-F133-G133</f>
        <v>15804000</v>
      </c>
      <c r="I133" s="7" t="n">
        <f aca="false">H133-IF(가정!$B$7=1,가정!$B$5,0)</f>
        <v>15804000</v>
      </c>
      <c r="J133" s="7" t="n">
        <f aca="false">MAX(0,I133)*가정!$B$6</f>
        <v>14223600</v>
      </c>
      <c r="K133" s="7" t="n">
        <f aca="false">가정!$B$5+J133</f>
        <v>14223600</v>
      </c>
      <c r="L133" s="7" t="n">
        <f aca="false">H133-K133</f>
        <v>1580400</v>
      </c>
      <c r="M133" s="8" t="n">
        <f aca="false">IF(B133=0,0,K133/B133)</f>
        <v>0.36753488372093</v>
      </c>
      <c r="N133" s="7" t="n">
        <f aca="false">K133/가정!$B$8</f>
        <v>71118</v>
      </c>
      <c r="O133" s="7" t="n">
        <f aca="false">IF(I133&gt;0,A133,"")</f>
        <v>129</v>
      </c>
      <c r="P133" s="7" t="n">
        <f aca="false">IF(L133&gt;=0,A133,"")</f>
        <v>129</v>
      </c>
      <c r="Q133" s="7" t="n">
        <f aca="false">IF(K133&gt;=가정!$B$28,A133,"")</f>
        <v>129</v>
      </c>
      <c r="R133" s="7" t="str">
        <f aca="false">IF(MAX(0,I133)*(1-가정!$B$6)*'1억 상환'!$B$6&gt;='1억 상환'!$B$5,A133,"")</f>
        <v/>
      </c>
    </row>
    <row r="134" customFormat="false" ht="15" hidden="false" customHeight="false" outlineLevel="0" collapsed="false">
      <c r="A134" s="7" t="n">
        <v>130</v>
      </c>
      <c r="B134" s="7" t="n">
        <f aca="false">A134*가정!$B$10</f>
        <v>39000000</v>
      </c>
      <c r="C134" s="7" t="n">
        <f aca="false">가정!$B$30</f>
        <v>8600000</v>
      </c>
      <c r="D134" s="7" t="n">
        <f aca="false">ROUNDUP(MAX(0,A134-가정!$B$18)/가정!$B$19,0)</f>
        <v>4</v>
      </c>
      <c r="E134" s="7" t="n">
        <f aca="false">D134*가정!$B$20</f>
        <v>11200000</v>
      </c>
      <c r="F134" s="7" t="n">
        <f aca="false">A134*가정!$B$22+B134*가정!$B$23</f>
        <v>3120000</v>
      </c>
      <c r="G134" s="7" t="n">
        <f aca="false">B134*가정!$B$24</f>
        <v>0</v>
      </c>
      <c r="H134" s="7" t="n">
        <f aca="false">B134-C134-E134-F134-G134</f>
        <v>16080000</v>
      </c>
      <c r="I134" s="7" t="n">
        <f aca="false">H134-IF(가정!$B$7=1,가정!$B$5,0)</f>
        <v>16080000</v>
      </c>
      <c r="J134" s="7" t="n">
        <f aca="false">MAX(0,I134)*가정!$B$6</f>
        <v>14472000</v>
      </c>
      <c r="K134" s="7" t="n">
        <f aca="false">가정!$B$5+J134</f>
        <v>14472000</v>
      </c>
      <c r="L134" s="7" t="n">
        <f aca="false">H134-K134</f>
        <v>1608000</v>
      </c>
      <c r="M134" s="8" t="n">
        <f aca="false">IF(B134=0,0,K134/B134)</f>
        <v>0.371076923076923</v>
      </c>
      <c r="N134" s="7" t="n">
        <f aca="false">K134/가정!$B$8</f>
        <v>72360</v>
      </c>
      <c r="O134" s="7" t="n">
        <f aca="false">IF(I134&gt;0,A134,"")</f>
        <v>130</v>
      </c>
      <c r="P134" s="7" t="n">
        <f aca="false">IF(L134&gt;=0,A134,"")</f>
        <v>130</v>
      </c>
      <c r="Q134" s="7" t="n">
        <f aca="false">IF(K134&gt;=가정!$B$28,A134,"")</f>
        <v>130</v>
      </c>
      <c r="R134" s="7" t="str">
        <f aca="false">IF(MAX(0,I134)*(1-가정!$B$6)*'1억 상환'!$B$6&gt;='1억 상환'!$B$5,A134,"")</f>
        <v/>
      </c>
    </row>
    <row r="135" customFormat="false" ht="15" hidden="false" customHeight="false" outlineLevel="0" collapsed="false">
      <c r="A135" s="7" t="n">
        <v>131</v>
      </c>
      <c r="B135" s="7" t="n">
        <f aca="false">A135*가정!$B$10</f>
        <v>39300000</v>
      </c>
      <c r="C135" s="7" t="n">
        <f aca="false">가정!$B$30</f>
        <v>8600000</v>
      </c>
      <c r="D135" s="7" t="n">
        <f aca="false">ROUNDUP(MAX(0,A135-가정!$B$18)/가정!$B$19,0)</f>
        <v>4</v>
      </c>
      <c r="E135" s="7" t="n">
        <f aca="false">D135*가정!$B$20</f>
        <v>11200000</v>
      </c>
      <c r="F135" s="7" t="n">
        <f aca="false">A135*가정!$B$22+B135*가정!$B$23</f>
        <v>3144000</v>
      </c>
      <c r="G135" s="7" t="n">
        <f aca="false">B135*가정!$B$24</f>
        <v>0</v>
      </c>
      <c r="H135" s="7" t="n">
        <f aca="false">B135-C135-E135-F135-G135</f>
        <v>16356000</v>
      </c>
      <c r="I135" s="7" t="n">
        <f aca="false">H135-IF(가정!$B$7=1,가정!$B$5,0)</f>
        <v>16356000</v>
      </c>
      <c r="J135" s="7" t="n">
        <f aca="false">MAX(0,I135)*가정!$B$6</f>
        <v>14720400</v>
      </c>
      <c r="K135" s="7" t="n">
        <f aca="false">가정!$B$5+J135</f>
        <v>14720400</v>
      </c>
      <c r="L135" s="7" t="n">
        <f aca="false">H135-K135</f>
        <v>1635600</v>
      </c>
      <c r="M135" s="8" t="n">
        <f aca="false">IF(B135=0,0,K135/B135)</f>
        <v>0.374564885496183</v>
      </c>
      <c r="N135" s="7" t="n">
        <f aca="false">K135/가정!$B$8</f>
        <v>73602</v>
      </c>
      <c r="O135" s="7" t="n">
        <f aca="false">IF(I135&gt;0,A135,"")</f>
        <v>131</v>
      </c>
      <c r="P135" s="7" t="n">
        <f aca="false">IF(L135&gt;=0,A135,"")</f>
        <v>131</v>
      </c>
      <c r="Q135" s="7" t="n">
        <f aca="false">IF(K135&gt;=가정!$B$28,A135,"")</f>
        <v>131</v>
      </c>
      <c r="R135" s="7" t="str">
        <f aca="false">IF(MAX(0,I135)*(1-가정!$B$6)*'1억 상환'!$B$6&gt;='1억 상환'!$B$5,A135,"")</f>
        <v/>
      </c>
    </row>
    <row r="136" customFormat="false" ht="15" hidden="false" customHeight="false" outlineLevel="0" collapsed="false">
      <c r="A136" s="7" t="n">
        <v>132</v>
      </c>
      <c r="B136" s="7" t="n">
        <f aca="false">A136*가정!$B$10</f>
        <v>39600000</v>
      </c>
      <c r="C136" s="7" t="n">
        <f aca="false">가정!$B$30</f>
        <v>8600000</v>
      </c>
      <c r="D136" s="7" t="n">
        <f aca="false">ROUNDUP(MAX(0,A136-가정!$B$18)/가정!$B$19,0)</f>
        <v>4</v>
      </c>
      <c r="E136" s="7" t="n">
        <f aca="false">D136*가정!$B$20</f>
        <v>11200000</v>
      </c>
      <c r="F136" s="7" t="n">
        <f aca="false">A136*가정!$B$22+B136*가정!$B$23</f>
        <v>3168000</v>
      </c>
      <c r="G136" s="7" t="n">
        <f aca="false">B136*가정!$B$24</f>
        <v>0</v>
      </c>
      <c r="H136" s="7" t="n">
        <f aca="false">B136-C136-E136-F136-G136</f>
        <v>16632000</v>
      </c>
      <c r="I136" s="7" t="n">
        <f aca="false">H136-IF(가정!$B$7=1,가정!$B$5,0)</f>
        <v>16632000</v>
      </c>
      <c r="J136" s="7" t="n">
        <f aca="false">MAX(0,I136)*가정!$B$6</f>
        <v>14968800</v>
      </c>
      <c r="K136" s="7" t="n">
        <f aca="false">가정!$B$5+J136</f>
        <v>14968800</v>
      </c>
      <c r="L136" s="7" t="n">
        <f aca="false">H136-K136</f>
        <v>1663200</v>
      </c>
      <c r="M136" s="8" t="n">
        <f aca="false">IF(B136=0,0,K136/B136)</f>
        <v>0.378</v>
      </c>
      <c r="N136" s="7" t="n">
        <f aca="false">K136/가정!$B$8</f>
        <v>74844</v>
      </c>
      <c r="O136" s="7" t="n">
        <f aca="false">IF(I136&gt;0,A136,"")</f>
        <v>132</v>
      </c>
      <c r="P136" s="7" t="n">
        <f aca="false">IF(L136&gt;=0,A136,"")</f>
        <v>132</v>
      </c>
      <c r="Q136" s="7" t="n">
        <f aca="false">IF(K136&gt;=가정!$B$28,A136,"")</f>
        <v>132</v>
      </c>
      <c r="R136" s="7" t="str">
        <f aca="false">IF(MAX(0,I136)*(1-가정!$B$6)*'1억 상환'!$B$6&gt;='1억 상환'!$B$5,A136,"")</f>
        <v/>
      </c>
    </row>
    <row r="137" customFormat="false" ht="15" hidden="false" customHeight="false" outlineLevel="0" collapsed="false">
      <c r="A137" s="7" t="n">
        <v>133</v>
      </c>
      <c r="B137" s="7" t="n">
        <f aca="false">A137*가정!$B$10</f>
        <v>39900000</v>
      </c>
      <c r="C137" s="7" t="n">
        <f aca="false">가정!$B$30</f>
        <v>8600000</v>
      </c>
      <c r="D137" s="7" t="n">
        <f aca="false">ROUNDUP(MAX(0,A137-가정!$B$18)/가정!$B$19,0)</f>
        <v>4</v>
      </c>
      <c r="E137" s="7" t="n">
        <f aca="false">D137*가정!$B$20</f>
        <v>11200000</v>
      </c>
      <c r="F137" s="7" t="n">
        <f aca="false">A137*가정!$B$22+B137*가정!$B$23</f>
        <v>3192000</v>
      </c>
      <c r="G137" s="7" t="n">
        <f aca="false">B137*가정!$B$24</f>
        <v>0</v>
      </c>
      <c r="H137" s="7" t="n">
        <f aca="false">B137-C137-E137-F137-G137</f>
        <v>16908000</v>
      </c>
      <c r="I137" s="7" t="n">
        <f aca="false">H137-IF(가정!$B$7=1,가정!$B$5,0)</f>
        <v>16908000</v>
      </c>
      <c r="J137" s="7" t="n">
        <f aca="false">MAX(0,I137)*가정!$B$6</f>
        <v>15217200</v>
      </c>
      <c r="K137" s="7" t="n">
        <f aca="false">가정!$B$5+J137</f>
        <v>15217200</v>
      </c>
      <c r="L137" s="7" t="n">
        <f aca="false">H137-K137</f>
        <v>1690800</v>
      </c>
      <c r="M137" s="8" t="n">
        <f aca="false">IF(B137=0,0,K137/B137)</f>
        <v>0.381383458646617</v>
      </c>
      <c r="N137" s="7" t="n">
        <f aca="false">K137/가정!$B$8</f>
        <v>76086</v>
      </c>
      <c r="O137" s="7" t="n">
        <f aca="false">IF(I137&gt;0,A137,"")</f>
        <v>133</v>
      </c>
      <c r="P137" s="7" t="n">
        <f aca="false">IF(L137&gt;=0,A137,"")</f>
        <v>133</v>
      </c>
      <c r="Q137" s="7" t="n">
        <f aca="false">IF(K137&gt;=가정!$B$28,A137,"")</f>
        <v>133</v>
      </c>
      <c r="R137" s="7" t="str">
        <f aca="false">IF(MAX(0,I137)*(1-가정!$B$6)*'1억 상환'!$B$6&gt;='1억 상환'!$B$5,A137,"")</f>
        <v/>
      </c>
    </row>
    <row r="138" customFormat="false" ht="15" hidden="false" customHeight="false" outlineLevel="0" collapsed="false">
      <c r="A138" s="7" t="n">
        <v>134</v>
      </c>
      <c r="B138" s="7" t="n">
        <f aca="false">A138*가정!$B$10</f>
        <v>40200000</v>
      </c>
      <c r="C138" s="7" t="n">
        <f aca="false">가정!$B$30</f>
        <v>8600000</v>
      </c>
      <c r="D138" s="7" t="n">
        <f aca="false">ROUNDUP(MAX(0,A138-가정!$B$18)/가정!$B$19,0)</f>
        <v>4</v>
      </c>
      <c r="E138" s="7" t="n">
        <f aca="false">D138*가정!$B$20</f>
        <v>11200000</v>
      </c>
      <c r="F138" s="7" t="n">
        <f aca="false">A138*가정!$B$22+B138*가정!$B$23</f>
        <v>3216000</v>
      </c>
      <c r="G138" s="7" t="n">
        <f aca="false">B138*가정!$B$24</f>
        <v>0</v>
      </c>
      <c r="H138" s="7" t="n">
        <f aca="false">B138-C138-E138-F138-G138</f>
        <v>17184000</v>
      </c>
      <c r="I138" s="7" t="n">
        <f aca="false">H138-IF(가정!$B$7=1,가정!$B$5,0)</f>
        <v>17184000</v>
      </c>
      <c r="J138" s="7" t="n">
        <f aca="false">MAX(0,I138)*가정!$B$6</f>
        <v>15465600</v>
      </c>
      <c r="K138" s="7" t="n">
        <f aca="false">가정!$B$5+J138</f>
        <v>15465600</v>
      </c>
      <c r="L138" s="7" t="n">
        <f aca="false">H138-K138</f>
        <v>1718400</v>
      </c>
      <c r="M138" s="8" t="n">
        <f aca="false">IF(B138=0,0,K138/B138)</f>
        <v>0.384716417910448</v>
      </c>
      <c r="N138" s="7" t="n">
        <f aca="false">K138/가정!$B$8</f>
        <v>77328</v>
      </c>
      <c r="O138" s="7" t="n">
        <f aca="false">IF(I138&gt;0,A138,"")</f>
        <v>134</v>
      </c>
      <c r="P138" s="7" t="n">
        <f aca="false">IF(L138&gt;=0,A138,"")</f>
        <v>134</v>
      </c>
      <c r="Q138" s="7" t="n">
        <f aca="false">IF(K138&gt;=가정!$B$28,A138,"")</f>
        <v>134</v>
      </c>
      <c r="R138" s="7" t="str">
        <f aca="false">IF(MAX(0,I138)*(1-가정!$B$6)*'1억 상환'!$B$6&gt;='1억 상환'!$B$5,A138,"")</f>
        <v/>
      </c>
    </row>
    <row r="139" customFormat="false" ht="15" hidden="false" customHeight="false" outlineLevel="0" collapsed="false">
      <c r="A139" s="7" t="n">
        <v>135</v>
      </c>
      <c r="B139" s="7" t="n">
        <f aca="false">A139*가정!$B$10</f>
        <v>40500000</v>
      </c>
      <c r="C139" s="7" t="n">
        <f aca="false">가정!$B$30</f>
        <v>8600000</v>
      </c>
      <c r="D139" s="7" t="n">
        <f aca="false">ROUNDUP(MAX(0,A139-가정!$B$18)/가정!$B$19,0)</f>
        <v>4</v>
      </c>
      <c r="E139" s="7" t="n">
        <f aca="false">D139*가정!$B$20</f>
        <v>11200000</v>
      </c>
      <c r="F139" s="7" t="n">
        <f aca="false">A139*가정!$B$22+B139*가정!$B$23</f>
        <v>3240000</v>
      </c>
      <c r="G139" s="7" t="n">
        <f aca="false">B139*가정!$B$24</f>
        <v>0</v>
      </c>
      <c r="H139" s="7" t="n">
        <f aca="false">B139-C139-E139-F139-G139</f>
        <v>17460000</v>
      </c>
      <c r="I139" s="7" t="n">
        <f aca="false">H139-IF(가정!$B$7=1,가정!$B$5,0)</f>
        <v>17460000</v>
      </c>
      <c r="J139" s="7" t="n">
        <f aca="false">MAX(0,I139)*가정!$B$6</f>
        <v>15714000</v>
      </c>
      <c r="K139" s="7" t="n">
        <f aca="false">가정!$B$5+J139</f>
        <v>15714000</v>
      </c>
      <c r="L139" s="7" t="n">
        <f aca="false">H139-K139</f>
        <v>1746000</v>
      </c>
      <c r="M139" s="8" t="n">
        <f aca="false">IF(B139=0,0,K139/B139)</f>
        <v>0.388</v>
      </c>
      <c r="N139" s="7" t="n">
        <f aca="false">K139/가정!$B$8</f>
        <v>78570</v>
      </c>
      <c r="O139" s="7" t="n">
        <f aca="false">IF(I139&gt;0,A139,"")</f>
        <v>135</v>
      </c>
      <c r="P139" s="7" t="n">
        <f aca="false">IF(L139&gt;=0,A139,"")</f>
        <v>135</v>
      </c>
      <c r="Q139" s="7" t="n">
        <f aca="false">IF(K139&gt;=가정!$B$28,A139,"")</f>
        <v>135</v>
      </c>
      <c r="R139" s="7" t="str">
        <f aca="false">IF(MAX(0,I139)*(1-가정!$B$6)*'1억 상환'!$B$6&gt;='1억 상환'!$B$5,A139,"")</f>
        <v/>
      </c>
    </row>
    <row r="140" customFormat="false" ht="15" hidden="false" customHeight="false" outlineLevel="0" collapsed="false">
      <c r="A140" s="7" t="n">
        <v>136</v>
      </c>
      <c r="B140" s="7" t="n">
        <f aca="false">A140*가정!$B$10</f>
        <v>40800000</v>
      </c>
      <c r="C140" s="7" t="n">
        <f aca="false">가정!$B$30</f>
        <v>8600000</v>
      </c>
      <c r="D140" s="7" t="n">
        <f aca="false">ROUNDUP(MAX(0,A140-가정!$B$18)/가정!$B$19,0)</f>
        <v>4</v>
      </c>
      <c r="E140" s="7" t="n">
        <f aca="false">D140*가정!$B$20</f>
        <v>11200000</v>
      </c>
      <c r="F140" s="7" t="n">
        <f aca="false">A140*가정!$B$22+B140*가정!$B$23</f>
        <v>3264000</v>
      </c>
      <c r="G140" s="7" t="n">
        <f aca="false">B140*가정!$B$24</f>
        <v>0</v>
      </c>
      <c r="H140" s="7" t="n">
        <f aca="false">B140-C140-E140-F140-G140</f>
        <v>17736000</v>
      </c>
      <c r="I140" s="7" t="n">
        <f aca="false">H140-IF(가정!$B$7=1,가정!$B$5,0)</f>
        <v>17736000</v>
      </c>
      <c r="J140" s="7" t="n">
        <f aca="false">MAX(0,I140)*가정!$B$6</f>
        <v>15962400</v>
      </c>
      <c r="K140" s="7" t="n">
        <f aca="false">가정!$B$5+J140</f>
        <v>15962400</v>
      </c>
      <c r="L140" s="7" t="n">
        <f aca="false">H140-K140</f>
        <v>1773600</v>
      </c>
      <c r="M140" s="8" t="n">
        <f aca="false">IF(B140=0,0,K140/B140)</f>
        <v>0.391235294117647</v>
      </c>
      <c r="N140" s="7" t="n">
        <f aca="false">K140/가정!$B$8</f>
        <v>79812</v>
      </c>
      <c r="O140" s="7" t="n">
        <f aca="false">IF(I140&gt;0,A140,"")</f>
        <v>136</v>
      </c>
      <c r="P140" s="7" t="n">
        <f aca="false">IF(L140&gt;=0,A140,"")</f>
        <v>136</v>
      </c>
      <c r="Q140" s="7" t="n">
        <f aca="false">IF(K140&gt;=가정!$B$28,A140,"")</f>
        <v>136</v>
      </c>
      <c r="R140" s="7" t="str">
        <f aca="false">IF(MAX(0,I140)*(1-가정!$B$6)*'1억 상환'!$B$6&gt;='1억 상환'!$B$5,A140,"")</f>
        <v/>
      </c>
    </row>
    <row r="141" customFormat="false" ht="15" hidden="false" customHeight="false" outlineLevel="0" collapsed="false">
      <c r="A141" s="7" t="n">
        <v>137</v>
      </c>
      <c r="B141" s="7" t="n">
        <f aca="false">A141*가정!$B$10</f>
        <v>41100000</v>
      </c>
      <c r="C141" s="7" t="n">
        <f aca="false">가정!$B$30</f>
        <v>8600000</v>
      </c>
      <c r="D141" s="7" t="n">
        <f aca="false">ROUNDUP(MAX(0,A141-가정!$B$18)/가정!$B$19,0)</f>
        <v>4</v>
      </c>
      <c r="E141" s="7" t="n">
        <f aca="false">D141*가정!$B$20</f>
        <v>11200000</v>
      </c>
      <c r="F141" s="7" t="n">
        <f aca="false">A141*가정!$B$22+B141*가정!$B$23</f>
        <v>3288000</v>
      </c>
      <c r="G141" s="7" t="n">
        <f aca="false">B141*가정!$B$24</f>
        <v>0</v>
      </c>
      <c r="H141" s="7" t="n">
        <f aca="false">B141-C141-E141-F141-G141</f>
        <v>18012000</v>
      </c>
      <c r="I141" s="7" t="n">
        <f aca="false">H141-IF(가정!$B$7=1,가정!$B$5,0)</f>
        <v>18012000</v>
      </c>
      <c r="J141" s="7" t="n">
        <f aca="false">MAX(0,I141)*가정!$B$6</f>
        <v>16210800</v>
      </c>
      <c r="K141" s="7" t="n">
        <f aca="false">가정!$B$5+J141</f>
        <v>16210800</v>
      </c>
      <c r="L141" s="7" t="n">
        <f aca="false">H141-K141</f>
        <v>1801200</v>
      </c>
      <c r="M141" s="8" t="n">
        <f aca="false">IF(B141=0,0,K141/B141)</f>
        <v>0.394423357664234</v>
      </c>
      <c r="N141" s="7" t="n">
        <f aca="false">K141/가정!$B$8</f>
        <v>81054</v>
      </c>
      <c r="O141" s="7" t="n">
        <f aca="false">IF(I141&gt;0,A141,"")</f>
        <v>137</v>
      </c>
      <c r="P141" s="7" t="n">
        <f aca="false">IF(L141&gt;=0,A141,"")</f>
        <v>137</v>
      </c>
      <c r="Q141" s="7" t="n">
        <f aca="false">IF(K141&gt;=가정!$B$28,A141,"")</f>
        <v>137</v>
      </c>
      <c r="R141" s="7" t="str">
        <f aca="false">IF(MAX(0,I141)*(1-가정!$B$6)*'1억 상환'!$B$6&gt;='1억 상환'!$B$5,A141,"")</f>
        <v/>
      </c>
    </row>
    <row r="142" customFormat="false" ht="15" hidden="false" customHeight="false" outlineLevel="0" collapsed="false">
      <c r="A142" s="7" t="n">
        <v>138</v>
      </c>
      <c r="B142" s="7" t="n">
        <f aca="false">A142*가정!$B$10</f>
        <v>41400000</v>
      </c>
      <c r="C142" s="7" t="n">
        <f aca="false">가정!$B$30</f>
        <v>8600000</v>
      </c>
      <c r="D142" s="7" t="n">
        <f aca="false">ROUNDUP(MAX(0,A142-가정!$B$18)/가정!$B$19,0)</f>
        <v>4</v>
      </c>
      <c r="E142" s="7" t="n">
        <f aca="false">D142*가정!$B$20</f>
        <v>11200000</v>
      </c>
      <c r="F142" s="7" t="n">
        <f aca="false">A142*가정!$B$22+B142*가정!$B$23</f>
        <v>3312000</v>
      </c>
      <c r="G142" s="7" t="n">
        <f aca="false">B142*가정!$B$24</f>
        <v>0</v>
      </c>
      <c r="H142" s="7" t="n">
        <f aca="false">B142-C142-E142-F142-G142</f>
        <v>18288000</v>
      </c>
      <c r="I142" s="7" t="n">
        <f aca="false">H142-IF(가정!$B$7=1,가정!$B$5,0)</f>
        <v>18288000</v>
      </c>
      <c r="J142" s="7" t="n">
        <f aca="false">MAX(0,I142)*가정!$B$6</f>
        <v>16459200</v>
      </c>
      <c r="K142" s="7" t="n">
        <f aca="false">가정!$B$5+J142</f>
        <v>16459200</v>
      </c>
      <c r="L142" s="7" t="n">
        <f aca="false">H142-K142</f>
        <v>1828800</v>
      </c>
      <c r="M142" s="8" t="n">
        <f aca="false">IF(B142=0,0,K142/B142)</f>
        <v>0.397565217391304</v>
      </c>
      <c r="N142" s="7" t="n">
        <f aca="false">K142/가정!$B$8</f>
        <v>82296</v>
      </c>
      <c r="O142" s="7" t="n">
        <f aca="false">IF(I142&gt;0,A142,"")</f>
        <v>138</v>
      </c>
      <c r="P142" s="7" t="n">
        <f aca="false">IF(L142&gt;=0,A142,"")</f>
        <v>138</v>
      </c>
      <c r="Q142" s="7" t="n">
        <f aca="false">IF(K142&gt;=가정!$B$28,A142,"")</f>
        <v>138</v>
      </c>
      <c r="R142" s="7" t="str">
        <f aca="false">IF(MAX(0,I142)*(1-가정!$B$6)*'1억 상환'!$B$6&gt;='1억 상환'!$B$5,A142,"")</f>
        <v/>
      </c>
    </row>
    <row r="143" customFormat="false" ht="15" hidden="false" customHeight="false" outlineLevel="0" collapsed="false">
      <c r="A143" s="7" t="n">
        <v>139</v>
      </c>
      <c r="B143" s="7" t="n">
        <f aca="false">A143*가정!$B$10</f>
        <v>41700000</v>
      </c>
      <c r="C143" s="7" t="n">
        <f aca="false">가정!$B$30</f>
        <v>8600000</v>
      </c>
      <c r="D143" s="7" t="n">
        <f aca="false">ROUNDUP(MAX(0,A143-가정!$B$18)/가정!$B$19,0)</f>
        <v>4</v>
      </c>
      <c r="E143" s="7" t="n">
        <f aca="false">D143*가정!$B$20</f>
        <v>11200000</v>
      </c>
      <c r="F143" s="7" t="n">
        <f aca="false">A143*가정!$B$22+B143*가정!$B$23</f>
        <v>3336000</v>
      </c>
      <c r="G143" s="7" t="n">
        <f aca="false">B143*가정!$B$24</f>
        <v>0</v>
      </c>
      <c r="H143" s="7" t="n">
        <f aca="false">B143-C143-E143-F143-G143</f>
        <v>18564000</v>
      </c>
      <c r="I143" s="7" t="n">
        <f aca="false">H143-IF(가정!$B$7=1,가정!$B$5,0)</f>
        <v>18564000</v>
      </c>
      <c r="J143" s="7" t="n">
        <f aca="false">MAX(0,I143)*가정!$B$6</f>
        <v>16707600</v>
      </c>
      <c r="K143" s="7" t="n">
        <f aca="false">가정!$B$5+J143</f>
        <v>16707600</v>
      </c>
      <c r="L143" s="7" t="n">
        <f aca="false">H143-K143</f>
        <v>1856400</v>
      </c>
      <c r="M143" s="8" t="n">
        <f aca="false">IF(B143=0,0,K143/B143)</f>
        <v>0.400661870503597</v>
      </c>
      <c r="N143" s="7" t="n">
        <f aca="false">K143/가정!$B$8</f>
        <v>83538</v>
      </c>
      <c r="O143" s="7" t="n">
        <f aca="false">IF(I143&gt;0,A143,"")</f>
        <v>139</v>
      </c>
      <c r="P143" s="7" t="n">
        <f aca="false">IF(L143&gt;=0,A143,"")</f>
        <v>139</v>
      </c>
      <c r="Q143" s="7" t="n">
        <f aca="false">IF(K143&gt;=가정!$B$28,A143,"")</f>
        <v>139</v>
      </c>
      <c r="R143" s="7" t="str">
        <f aca="false">IF(MAX(0,I143)*(1-가정!$B$6)*'1억 상환'!$B$6&gt;='1억 상환'!$B$5,A143,"")</f>
        <v/>
      </c>
    </row>
    <row r="144" customFormat="false" ht="15" hidden="false" customHeight="false" outlineLevel="0" collapsed="false">
      <c r="A144" s="7" t="n">
        <v>140</v>
      </c>
      <c r="B144" s="7" t="n">
        <f aca="false">A144*가정!$B$10</f>
        <v>42000000</v>
      </c>
      <c r="C144" s="7" t="n">
        <f aca="false">가정!$B$30</f>
        <v>8600000</v>
      </c>
      <c r="D144" s="7" t="n">
        <f aca="false">ROUNDUP(MAX(0,A144-가정!$B$18)/가정!$B$19,0)</f>
        <v>4</v>
      </c>
      <c r="E144" s="7" t="n">
        <f aca="false">D144*가정!$B$20</f>
        <v>11200000</v>
      </c>
      <c r="F144" s="7" t="n">
        <f aca="false">A144*가정!$B$22+B144*가정!$B$23</f>
        <v>3360000</v>
      </c>
      <c r="G144" s="7" t="n">
        <f aca="false">B144*가정!$B$24</f>
        <v>0</v>
      </c>
      <c r="H144" s="7" t="n">
        <f aca="false">B144-C144-E144-F144-G144</f>
        <v>18840000</v>
      </c>
      <c r="I144" s="7" t="n">
        <f aca="false">H144-IF(가정!$B$7=1,가정!$B$5,0)</f>
        <v>18840000</v>
      </c>
      <c r="J144" s="7" t="n">
        <f aca="false">MAX(0,I144)*가정!$B$6</f>
        <v>16956000</v>
      </c>
      <c r="K144" s="7" t="n">
        <f aca="false">가정!$B$5+J144</f>
        <v>16956000</v>
      </c>
      <c r="L144" s="7" t="n">
        <f aca="false">H144-K144</f>
        <v>1884000</v>
      </c>
      <c r="M144" s="8" t="n">
        <f aca="false">IF(B144=0,0,K144/B144)</f>
        <v>0.403714285714286</v>
      </c>
      <c r="N144" s="7" t="n">
        <f aca="false">K144/가정!$B$8</f>
        <v>84780</v>
      </c>
      <c r="O144" s="7" t="n">
        <f aca="false">IF(I144&gt;0,A144,"")</f>
        <v>140</v>
      </c>
      <c r="P144" s="7" t="n">
        <f aca="false">IF(L144&gt;=0,A144,"")</f>
        <v>140</v>
      </c>
      <c r="Q144" s="7" t="n">
        <f aca="false">IF(K144&gt;=가정!$B$28,A144,"")</f>
        <v>140</v>
      </c>
      <c r="R144" s="7" t="str">
        <f aca="false">IF(MAX(0,I144)*(1-가정!$B$6)*'1억 상환'!$B$6&gt;='1억 상환'!$B$5,A144,"")</f>
        <v/>
      </c>
    </row>
    <row r="145" customFormat="false" ht="15" hidden="false" customHeight="false" outlineLevel="0" collapsed="false">
      <c r="A145" s="7" t="n">
        <v>141</v>
      </c>
      <c r="B145" s="7" t="n">
        <f aca="false">A145*가정!$B$10</f>
        <v>42300000</v>
      </c>
      <c r="C145" s="7" t="n">
        <f aca="false">가정!$B$30</f>
        <v>8600000</v>
      </c>
      <c r="D145" s="7" t="n">
        <f aca="false">ROUNDUP(MAX(0,A145-가정!$B$18)/가정!$B$19,0)</f>
        <v>5</v>
      </c>
      <c r="E145" s="7" t="n">
        <f aca="false">D145*가정!$B$20</f>
        <v>14000000</v>
      </c>
      <c r="F145" s="7" t="n">
        <f aca="false">A145*가정!$B$22+B145*가정!$B$23</f>
        <v>3384000</v>
      </c>
      <c r="G145" s="7" t="n">
        <f aca="false">B145*가정!$B$24</f>
        <v>0</v>
      </c>
      <c r="H145" s="7" t="n">
        <f aca="false">B145-C145-E145-F145-G145</f>
        <v>16316000</v>
      </c>
      <c r="I145" s="7" t="n">
        <f aca="false">H145-IF(가정!$B$7=1,가정!$B$5,0)</f>
        <v>16316000</v>
      </c>
      <c r="J145" s="7" t="n">
        <f aca="false">MAX(0,I145)*가정!$B$6</f>
        <v>14684400</v>
      </c>
      <c r="K145" s="7" t="n">
        <f aca="false">가정!$B$5+J145</f>
        <v>14684400</v>
      </c>
      <c r="L145" s="7" t="n">
        <f aca="false">H145-K145</f>
        <v>1631600</v>
      </c>
      <c r="M145" s="8" t="n">
        <f aca="false">IF(B145=0,0,K145/B145)</f>
        <v>0.347148936170213</v>
      </c>
      <c r="N145" s="7" t="n">
        <f aca="false">K145/가정!$B$8</f>
        <v>73422</v>
      </c>
      <c r="O145" s="7" t="n">
        <f aca="false">IF(I145&gt;0,A145,"")</f>
        <v>141</v>
      </c>
      <c r="P145" s="7" t="n">
        <f aca="false">IF(L145&gt;=0,A145,"")</f>
        <v>141</v>
      </c>
      <c r="Q145" s="7" t="n">
        <f aca="false">IF(K145&gt;=가정!$B$28,A145,"")</f>
        <v>141</v>
      </c>
      <c r="R145" s="7" t="str">
        <f aca="false">IF(MAX(0,I145)*(1-가정!$B$6)*'1억 상환'!$B$6&gt;='1억 상환'!$B$5,A145,"")</f>
        <v/>
      </c>
    </row>
    <row r="146" customFormat="false" ht="15" hidden="false" customHeight="false" outlineLevel="0" collapsed="false">
      <c r="A146" s="7" t="n">
        <v>142</v>
      </c>
      <c r="B146" s="7" t="n">
        <f aca="false">A146*가정!$B$10</f>
        <v>42600000</v>
      </c>
      <c r="C146" s="7" t="n">
        <f aca="false">가정!$B$30</f>
        <v>8600000</v>
      </c>
      <c r="D146" s="7" t="n">
        <f aca="false">ROUNDUP(MAX(0,A146-가정!$B$18)/가정!$B$19,0)</f>
        <v>5</v>
      </c>
      <c r="E146" s="7" t="n">
        <f aca="false">D146*가정!$B$20</f>
        <v>14000000</v>
      </c>
      <c r="F146" s="7" t="n">
        <f aca="false">A146*가정!$B$22+B146*가정!$B$23</f>
        <v>3408000</v>
      </c>
      <c r="G146" s="7" t="n">
        <f aca="false">B146*가정!$B$24</f>
        <v>0</v>
      </c>
      <c r="H146" s="7" t="n">
        <f aca="false">B146-C146-E146-F146-G146</f>
        <v>16592000</v>
      </c>
      <c r="I146" s="7" t="n">
        <f aca="false">H146-IF(가정!$B$7=1,가정!$B$5,0)</f>
        <v>16592000</v>
      </c>
      <c r="J146" s="7" t="n">
        <f aca="false">MAX(0,I146)*가정!$B$6</f>
        <v>14932800</v>
      </c>
      <c r="K146" s="7" t="n">
        <f aca="false">가정!$B$5+J146</f>
        <v>14932800</v>
      </c>
      <c r="L146" s="7" t="n">
        <f aca="false">H146-K146</f>
        <v>1659200</v>
      </c>
      <c r="M146" s="8" t="n">
        <f aca="false">IF(B146=0,0,K146/B146)</f>
        <v>0.350535211267606</v>
      </c>
      <c r="N146" s="7" t="n">
        <f aca="false">K146/가정!$B$8</f>
        <v>74664</v>
      </c>
      <c r="O146" s="7" t="n">
        <f aca="false">IF(I146&gt;0,A146,"")</f>
        <v>142</v>
      </c>
      <c r="P146" s="7" t="n">
        <f aca="false">IF(L146&gt;=0,A146,"")</f>
        <v>142</v>
      </c>
      <c r="Q146" s="7" t="n">
        <f aca="false">IF(K146&gt;=가정!$B$28,A146,"")</f>
        <v>142</v>
      </c>
      <c r="R146" s="7" t="str">
        <f aca="false">IF(MAX(0,I146)*(1-가정!$B$6)*'1억 상환'!$B$6&gt;='1억 상환'!$B$5,A146,"")</f>
        <v/>
      </c>
    </row>
    <row r="147" customFormat="false" ht="15" hidden="false" customHeight="false" outlineLevel="0" collapsed="false">
      <c r="A147" s="7" t="n">
        <v>143</v>
      </c>
      <c r="B147" s="7" t="n">
        <f aca="false">A147*가정!$B$10</f>
        <v>42900000</v>
      </c>
      <c r="C147" s="7" t="n">
        <f aca="false">가정!$B$30</f>
        <v>8600000</v>
      </c>
      <c r="D147" s="7" t="n">
        <f aca="false">ROUNDUP(MAX(0,A147-가정!$B$18)/가정!$B$19,0)</f>
        <v>5</v>
      </c>
      <c r="E147" s="7" t="n">
        <f aca="false">D147*가정!$B$20</f>
        <v>14000000</v>
      </c>
      <c r="F147" s="7" t="n">
        <f aca="false">A147*가정!$B$22+B147*가정!$B$23</f>
        <v>3432000</v>
      </c>
      <c r="G147" s="7" t="n">
        <f aca="false">B147*가정!$B$24</f>
        <v>0</v>
      </c>
      <c r="H147" s="7" t="n">
        <f aca="false">B147-C147-E147-F147-G147</f>
        <v>16868000</v>
      </c>
      <c r="I147" s="7" t="n">
        <f aca="false">H147-IF(가정!$B$7=1,가정!$B$5,0)</f>
        <v>16868000</v>
      </c>
      <c r="J147" s="7" t="n">
        <f aca="false">MAX(0,I147)*가정!$B$6</f>
        <v>15181200</v>
      </c>
      <c r="K147" s="7" t="n">
        <f aca="false">가정!$B$5+J147</f>
        <v>15181200</v>
      </c>
      <c r="L147" s="7" t="n">
        <f aca="false">H147-K147</f>
        <v>1686800</v>
      </c>
      <c r="M147" s="8" t="n">
        <f aca="false">IF(B147=0,0,K147/B147)</f>
        <v>0.353874125874126</v>
      </c>
      <c r="N147" s="7" t="n">
        <f aca="false">K147/가정!$B$8</f>
        <v>75906</v>
      </c>
      <c r="O147" s="7" t="n">
        <f aca="false">IF(I147&gt;0,A147,"")</f>
        <v>143</v>
      </c>
      <c r="P147" s="7" t="n">
        <f aca="false">IF(L147&gt;=0,A147,"")</f>
        <v>143</v>
      </c>
      <c r="Q147" s="7" t="n">
        <f aca="false">IF(K147&gt;=가정!$B$28,A147,"")</f>
        <v>143</v>
      </c>
      <c r="R147" s="7" t="str">
        <f aca="false">IF(MAX(0,I147)*(1-가정!$B$6)*'1억 상환'!$B$6&gt;='1억 상환'!$B$5,A147,"")</f>
        <v/>
      </c>
    </row>
    <row r="148" customFormat="false" ht="15" hidden="false" customHeight="false" outlineLevel="0" collapsed="false">
      <c r="A148" s="7" t="n">
        <v>144</v>
      </c>
      <c r="B148" s="7" t="n">
        <f aca="false">A148*가정!$B$10</f>
        <v>43200000</v>
      </c>
      <c r="C148" s="7" t="n">
        <f aca="false">가정!$B$30</f>
        <v>8600000</v>
      </c>
      <c r="D148" s="7" t="n">
        <f aca="false">ROUNDUP(MAX(0,A148-가정!$B$18)/가정!$B$19,0)</f>
        <v>5</v>
      </c>
      <c r="E148" s="7" t="n">
        <f aca="false">D148*가정!$B$20</f>
        <v>14000000</v>
      </c>
      <c r="F148" s="7" t="n">
        <f aca="false">A148*가정!$B$22+B148*가정!$B$23</f>
        <v>3456000</v>
      </c>
      <c r="G148" s="7" t="n">
        <f aca="false">B148*가정!$B$24</f>
        <v>0</v>
      </c>
      <c r="H148" s="7" t="n">
        <f aca="false">B148-C148-E148-F148-G148</f>
        <v>17144000</v>
      </c>
      <c r="I148" s="7" t="n">
        <f aca="false">H148-IF(가정!$B$7=1,가정!$B$5,0)</f>
        <v>17144000</v>
      </c>
      <c r="J148" s="7" t="n">
        <f aca="false">MAX(0,I148)*가정!$B$6</f>
        <v>15429600</v>
      </c>
      <c r="K148" s="7" t="n">
        <f aca="false">가정!$B$5+J148</f>
        <v>15429600</v>
      </c>
      <c r="L148" s="7" t="n">
        <f aca="false">H148-K148</f>
        <v>1714400</v>
      </c>
      <c r="M148" s="8" t="n">
        <f aca="false">IF(B148=0,0,K148/B148)</f>
        <v>0.357166666666667</v>
      </c>
      <c r="N148" s="7" t="n">
        <f aca="false">K148/가정!$B$8</f>
        <v>77148</v>
      </c>
      <c r="O148" s="7" t="n">
        <f aca="false">IF(I148&gt;0,A148,"")</f>
        <v>144</v>
      </c>
      <c r="P148" s="7" t="n">
        <f aca="false">IF(L148&gt;=0,A148,"")</f>
        <v>144</v>
      </c>
      <c r="Q148" s="7" t="n">
        <f aca="false">IF(K148&gt;=가정!$B$28,A148,"")</f>
        <v>144</v>
      </c>
      <c r="R148" s="7" t="str">
        <f aca="false">IF(MAX(0,I148)*(1-가정!$B$6)*'1억 상환'!$B$6&gt;='1억 상환'!$B$5,A148,"")</f>
        <v/>
      </c>
    </row>
    <row r="149" customFormat="false" ht="15" hidden="false" customHeight="false" outlineLevel="0" collapsed="false">
      <c r="A149" s="7" t="n">
        <v>145</v>
      </c>
      <c r="B149" s="7" t="n">
        <f aca="false">A149*가정!$B$10</f>
        <v>43500000</v>
      </c>
      <c r="C149" s="7" t="n">
        <f aca="false">가정!$B$30</f>
        <v>8600000</v>
      </c>
      <c r="D149" s="7" t="n">
        <f aca="false">ROUNDUP(MAX(0,A149-가정!$B$18)/가정!$B$19,0)</f>
        <v>5</v>
      </c>
      <c r="E149" s="7" t="n">
        <f aca="false">D149*가정!$B$20</f>
        <v>14000000</v>
      </c>
      <c r="F149" s="7" t="n">
        <f aca="false">A149*가정!$B$22+B149*가정!$B$23</f>
        <v>3480000</v>
      </c>
      <c r="G149" s="7" t="n">
        <f aca="false">B149*가정!$B$24</f>
        <v>0</v>
      </c>
      <c r="H149" s="7" t="n">
        <f aca="false">B149-C149-E149-F149-G149</f>
        <v>17420000</v>
      </c>
      <c r="I149" s="7" t="n">
        <f aca="false">H149-IF(가정!$B$7=1,가정!$B$5,0)</f>
        <v>17420000</v>
      </c>
      <c r="J149" s="7" t="n">
        <f aca="false">MAX(0,I149)*가정!$B$6</f>
        <v>15678000</v>
      </c>
      <c r="K149" s="7" t="n">
        <f aca="false">가정!$B$5+J149</f>
        <v>15678000</v>
      </c>
      <c r="L149" s="7" t="n">
        <f aca="false">H149-K149</f>
        <v>1742000</v>
      </c>
      <c r="M149" s="8" t="n">
        <f aca="false">IF(B149=0,0,K149/B149)</f>
        <v>0.360413793103448</v>
      </c>
      <c r="N149" s="7" t="n">
        <f aca="false">K149/가정!$B$8</f>
        <v>78390</v>
      </c>
      <c r="O149" s="7" t="n">
        <f aca="false">IF(I149&gt;0,A149,"")</f>
        <v>145</v>
      </c>
      <c r="P149" s="7" t="n">
        <f aca="false">IF(L149&gt;=0,A149,"")</f>
        <v>145</v>
      </c>
      <c r="Q149" s="7" t="n">
        <f aca="false">IF(K149&gt;=가정!$B$28,A149,"")</f>
        <v>145</v>
      </c>
      <c r="R149" s="7" t="str">
        <f aca="false">IF(MAX(0,I149)*(1-가정!$B$6)*'1억 상환'!$B$6&gt;='1억 상환'!$B$5,A149,"")</f>
        <v/>
      </c>
    </row>
    <row r="150" customFormat="false" ht="15" hidden="false" customHeight="false" outlineLevel="0" collapsed="false">
      <c r="A150" s="7" t="n">
        <v>146</v>
      </c>
      <c r="B150" s="7" t="n">
        <f aca="false">A150*가정!$B$10</f>
        <v>43800000</v>
      </c>
      <c r="C150" s="7" t="n">
        <f aca="false">가정!$B$30</f>
        <v>8600000</v>
      </c>
      <c r="D150" s="7" t="n">
        <f aca="false">ROUNDUP(MAX(0,A150-가정!$B$18)/가정!$B$19,0)</f>
        <v>5</v>
      </c>
      <c r="E150" s="7" t="n">
        <f aca="false">D150*가정!$B$20</f>
        <v>14000000</v>
      </c>
      <c r="F150" s="7" t="n">
        <f aca="false">A150*가정!$B$22+B150*가정!$B$23</f>
        <v>3504000</v>
      </c>
      <c r="G150" s="7" t="n">
        <f aca="false">B150*가정!$B$24</f>
        <v>0</v>
      </c>
      <c r="H150" s="7" t="n">
        <f aca="false">B150-C150-E150-F150-G150</f>
        <v>17696000</v>
      </c>
      <c r="I150" s="7" t="n">
        <f aca="false">H150-IF(가정!$B$7=1,가정!$B$5,0)</f>
        <v>17696000</v>
      </c>
      <c r="J150" s="7" t="n">
        <f aca="false">MAX(0,I150)*가정!$B$6</f>
        <v>15926400</v>
      </c>
      <c r="K150" s="7" t="n">
        <f aca="false">가정!$B$5+J150</f>
        <v>15926400</v>
      </c>
      <c r="L150" s="7" t="n">
        <f aca="false">H150-K150</f>
        <v>1769600</v>
      </c>
      <c r="M150" s="8" t="n">
        <f aca="false">IF(B150=0,0,K150/B150)</f>
        <v>0.363616438356164</v>
      </c>
      <c r="N150" s="7" t="n">
        <f aca="false">K150/가정!$B$8</f>
        <v>79632</v>
      </c>
      <c r="O150" s="7" t="n">
        <f aca="false">IF(I150&gt;0,A150,"")</f>
        <v>146</v>
      </c>
      <c r="P150" s="7" t="n">
        <f aca="false">IF(L150&gt;=0,A150,"")</f>
        <v>146</v>
      </c>
      <c r="Q150" s="7" t="n">
        <f aca="false">IF(K150&gt;=가정!$B$28,A150,"")</f>
        <v>146</v>
      </c>
      <c r="R150" s="7" t="str">
        <f aca="false">IF(MAX(0,I150)*(1-가정!$B$6)*'1억 상환'!$B$6&gt;='1억 상환'!$B$5,A150,"")</f>
        <v/>
      </c>
    </row>
    <row r="151" customFormat="false" ht="15" hidden="false" customHeight="false" outlineLevel="0" collapsed="false">
      <c r="A151" s="7" t="n">
        <v>147</v>
      </c>
      <c r="B151" s="7" t="n">
        <f aca="false">A151*가정!$B$10</f>
        <v>44100000</v>
      </c>
      <c r="C151" s="7" t="n">
        <f aca="false">가정!$B$30</f>
        <v>8600000</v>
      </c>
      <c r="D151" s="7" t="n">
        <f aca="false">ROUNDUP(MAX(0,A151-가정!$B$18)/가정!$B$19,0)</f>
        <v>5</v>
      </c>
      <c r="E151" s="7" t="n">
        <f aca="false">D151*가정!$B$20</f>
        <v>14000000</v>
      </c>
      <c r="F151" s="7" t="n">
        <f aca="false">A151*가정!$B$22+B151*가정!$B$23</f>
        <v>3528000</v>
      </c>
      <c r="G151" s="7" t="n">
        <f aca="false">B151*가정!$B$24</f>
        <v>0</v>
      </c>
      <c r="H151" s="7" t="n">
        <f aca="false">B151-C151-E151-F151-G151</f>
        <v>17972000</v>
      </c>
      <c r="I151" s="7" t="n">
        <f aca="false">H151-IF(가정!$B$7=1,가정!$B$5,0)</f>
        <v>17972000</v>
      </c>
      <c r="J151" s="7" t="n">
        <f aca="false">MAX(0,I151)*가정!$B$6</f>
        <v>16174800</v>
      </c>
      <c r="K151" s="7" t="n">
        <f aca="false">가정!$B$5+J151</f>
        <v>16174800</v>
      </c>
      <c r="L151" s="7" t="n">
        <f aca="false">H151-K151</f>
        <v>1797200</v>
      </c>
      <c r="M151" s="8" t="n">
        <f aca="false">IF(B151=0,0,K151/B151)</f>
        <v>0.366775510204082</v>
      </c>
      <c r="N151" s="7" t="n">
        <f aca="false">K151/가정!$B$8</f>
        <v>80874</v>
      </c>
      <c r="O151" s="7" t="n">
        <f aca="false">IF(I151&gt;0,A151,"")</f>
        <v>147</v>
      </c>
      <c r="P151" s="7" t="n">
        <f aca="false">IF(L151&gt;=0,A151,"")</f>
        <v>147</v>
      </c>
      <c r="Q151" s="7" t="n">
        <f aca="false">IF(K151&gt;=가정!$B$28,A151,"")</f>
        <v>147</v>
      </c>
      <c r="R151" s="7" t="str">
        <f aca="false">IF(MAX(0,I151)*(1-가정!$B$6)*'1억 상환'!$B$6&gt;='1억 상환'!$B$5,A151,"")</f>
        <v/>
      </c>
    </row>
    <row r="152" customFormat="false" ht="15" hidden="false" customHeight="false" outlineLevel="0" collapsed="false">
      <c r="A152" s="7" t="n">
        <v>148</v>
      </c>
      <c r="B152" s="7" t="n">
        <f aca="false">A152*가정!$B$10</f>
        <v>44400000</v>
      </c>
      <c r="C152" s="7" t="n">
        <f aca="false">가정!$B$30</f>
        <v>8600000</v>
      </c>
      <c r="D152" s="7" t="n">
        <f aca="false">ROUNDUP(MAX(0,A152-가정!$B$18)/가정!$B$19,0)</f>
        <v>5</v>
      </c>
      <c r="E152" s="7" t="n">
        <f aca="false">D152*가정!$B$20</f>
        <v>14000000</v>
      </c>
      <c r="F152" s="7" t="n">
        <f aca="false">A152*가정!$B$22+B152*가정!$B$23</f>
        <v>3552000</v>
      </c>
      <c r="G152" s="7" t="n">
        <f aca="false">B152*가정!$B$24</f>
        <v>0</v>
      </c>
      <c r="H152" s="7" t="n">
        <f aca="false">B152-C152-E152-F152-G152</f>
        <v>18248000</v>
      </c>
      <c r="I152" s="7" t="n">
        <f aca="false">H152-IF(가정!$B$7=1,가정!$B$5,0)</f>
        <v>18248000</v>
      </c>
      <c r="J152" s="7" t="n">
        <f aca="false">MAX(0,I152)*가정!$B$6</f>
        <v>16423200</v>
      </c>
      <c r="K152" s="7" t="n">
        <f aca="false">가정!$B$5+J152</f>
        <v>16423200</v>
      </c>
      <c r="L152" s="7" t="n">
        <f aca="false">H152-K152</f>
        <v>1824800</v>
      </c>
      <c r="M152" s="8" t="n">
        <f aca="false">IF(B152=0,0,K152/B152)</f>
        <v>0.369891891891892</v>
      </c>
      <c r="N152" s="7" t="n">
        <f aca="false">K152/가정!$B$8</f>
        <v>82116</v>
      </c>
      <c r="O152" s="7" t="n">
        <f aca="false">IF(I152&gt;0,A152,"")</f>
        <v>148</v>
      </c>
      <c r="P152" s="7" t="n">
        <f aca="false">IF(L152&gt;=0,A152,"")</f>
        <v>148</v>
      </c>
      <c r="Q152" s="7" t="n">
        <f aca="false">IF(K152&gt;=가정!$B$28,A152,"")</f>
        <v>148</v>
      </c>
      <c r="R152" s="7" t="str">
        <f aca="false">IF(MAX(0,I152)*(1-가정!$B$6)*'1억 상환'!$B$6&gt;='1억 상환'!$B$5,A152,"")</f>
        <v/>
      </c>
    </row>
    <row r="153" customFormat="false" ht="15" hidden="false" customHeight="false" outlineLevel="0" collapsed="false">
      <c r="A153" s="7" t="n">
        <v>149</v>
      </c>
      <c r="B153" s="7" t="n">
        <f aca="false">A153*가정!$B$10</f>
        <v>44700000</v>
      </c>
      <c r="C153" s="7" t="n">
        <f aca="false">가정!$B$30</f>
        <v>8600000</v>
      </c>
      <c r="D153" s="7" t="n">
        <f aca="false">ROUNDUP(MAX(0,A153-가정!$B$18)/가정!$B$19,0)</f>
        <v>5</v>
      </c>
      <c r="E153" s="7" t="n">
        <f aca="false">D153*가정!$B$20</f>
        <v>14000000</v>
      </c>
      <c r="F153" s="7" t="n">
        <f aca="false">A153*가정!$B$22+B153*가정!$B$23</f>
        <v>3576000</v>
      </c>
      <c r="G153" s="7" t="n">
        <f aca="false">B153*가정!$B$24</f>
        <v>0</v>
      </c>
      <c r="H153" s="7" t="n">
        <f aca="false">B153-C153-E153-F153-G153</f>
        <v>18524000</v>
      </c>
      <c r="I153" s="7" t="n">
        <f aca="false">H153-IF(가정!$B$7=1,가정!$B$5,0)</f>
        <v>18524000</v>
      </c>
      <c r="J153" s="7" t="n">
        <f aca="false">MAX(0,I153)*가정!$B$6</f>
        <v>16671600</v>
      </c>
      <c r="K153" s="7" t="n">
        <f aca="false">가정!$B$5+J153</f>
        <v>16671600</v>
      </c>
      <c r="L153" s="7" t="n">
        <f aca="false">H153-K153</f>
        <v>1852400</v>
      </c>
      <c r="M153" s="8" t="n">
        <f aca="false">IF(B153=0,0,K153/B153)</f>
        <v>0.37296644295302</v>
      </c>
      <c r="N153" s="7" t="n">
        <f aca="false">K153/가정!$B$8</f>
        <v>83358</v>
      </c>
      <c r="O153" s="7" t="n">
        <f aca="false">IF(I153&gt;0,A153,"")</f>
        <v>149</v>
      </c>
      <c r="P153" s="7" t="n">
        <f aca="false">IF(L153&gt;=0,A153,"")</f>
        <v>149</v>
      </c>
      <c r="Q153" s="7" t="n">
        <f aca="false">IF(K153&gt;=가정!$B$28,A153,"")</f>
        <v>149</v>
      </c>
      <c r="R153" s="7" t="str">
        <f aca="false">IF(MAX(0,I153)*(1-가정!$B$6)*'1억 상환'!$B$6&gt;='1억 상환'!$B$5,A153,"")</f>
        <v/>
      </c>
    </row>
    <row r="154" customFormat="false" ht="15" hidden="false" customHeight="false" outlineLevel="0" collapsed="false">
      <c r="A154" s="7" t="n">
        <v>150</v>
      </c>
      <c r="B154" s="7" t="n">
        <f aca="false">A154*가정!$B$10</f>
        <v>45000000</v>
      </c>
      <c r="C154" s="7" t="n">
        <f aca="false">가정!$B$30</f>
        <v>8600000</v>
      </c>
      <c r="D154" s="7" t="n">
        <f aca="false">ROUNDUP(MAX(0,A154-가정!$B$18)/가정!$B$19,0)</f>
        <v>5</v>
      </c>
      <c r="E154" s="7" t="n">
        <f aca="false">D154*가정!$B$20</f>
        <v>14000000</v>
      </c>
      <c r="F154" s="7" t="n">
        <f aca="false">A154*가정!$B$22+B154*가정!$B$23</f>
        <v>3600000</v>
      </c>
      <c r="G154" s="7" t="n">
        <f aca="false">B154*가정!$B$24</f>
        <v>0</v>
      </c>
      <c r="H154" s="7" t="n">
        <f aca="false">B154-C154-E154-F154-G154</f>
        <v>18800000</v>
      </c>
      <c r="I154" s="7" t="n">
        <f aca="false">H154-IF(가정!$B$7=1,가정!$B$5,0)</f>
        <v>18800000</v>
      </c>
      <c r="J154" s="7" t="n">
        <f aca="false">MAX(0,I154)*가정!$B$6</f>
        <v>16920000</v>
      </c>
      <c r="K154" s="7" t="n">
        <f aca="false">가정!$B$5+J154</f>
        <v>16920000</v>
      </c>
      <c r="L154" s="7" t="n">
        <f aca="false">H154-K154</f>
        <v>1880000</v>
      </c>
      <c r="M154" s="8" t="n">
        <f aca="false">IF(B154=0,0,K154/B154)</f>
        <v>0.376</v>
      </c>
      <c r="N154" s="7" t="n">
        <f aca="false">K154/가정!$B$8</f>
        <v>84600</v>
      </c>
      <c r="O154" s="7" t="n">
        <f aca="false">IF(I154&gt;0,A154,"")</f>
        <v>150</v>
      </c>
      <c r="P154" s="7" t="n">
        <f aca="false">IF(L154&gt;=0,A154,"")</f>
        <v>150</v>
      </c>
      <c r="Q154" s="7" t="n">
        <f aca="false">IF(K154&gt;=가정!$B$28,A154,"")</f>
        <v>150</v>
      </c>
      <c r="R154" s="7" t="str">
        <f aca="false">IF(MAX(0,I154)*(1-가정!$B$6)*'1억 상환'!$B$6&gt;='1억 상환'!$B$5,A154,"")</f>
        <v/>
      </c>
    </row>
    <row r="155" customFormat="false" ht="15" hidden="false" customHeight="false" outlineLevel="0" collapsed="false">
      <c r="A155" s="7" t="n">
        <v>151</v>
      </c>
      <c r="B155" s="7" t="n">
        <f aca="false">A155*가정!$B$10</f>
        <v>45300000</v>
      </c>
      <c r="C155" s="7" t="n">
        <f aca="false">가정!$B$30</f>
        <v>8600000</v>
      </c>
      <c r="D155" s="7" t="n">
        <f aca="false">ROUNDUP(MAX(0,A155-가정!$B$18)/가정!$B$19,0)</f>
        <v>5</v>
      </c>
      <c r="E155" s="7" t="n">
        <f aca="false">D155*가정!$B$20</f>
        <v>14000000</v>
      </c>
      <c r="F155" s="7" t="n">
        <f aca="false">A155*가정!$B$22+B155*가정!$B$23</f>
        <v>3624000</v>
      </c>
      <c r="G155" s="7" t="n">
        <f aca="false">B155*가정!$B$24</f>
        <v>0</v>
      </c>
      <c r="H155" s="7" t="n">
        <f aca="false">B155-C155-E155-F155-G155</f>
        <v>19076000</v>
      </c>
      <c r="I155" s="7" t="n">
        <f aca="false">H155-IF(가정!$B$7=1,가정!$B$5,0)</f>
        <v>19076000</v>
      </c>
      <c r="J155" s="7" t="n">
        <f aca="false">MAX(0,I155)*가정!$B$6</f>
        <v>17168400</v>
      </c>
      <c r="K155" s="7" t="n">
        <f aca="false">가정!$B$5+J155</f>
        <v>17168400</v>
      </c>
      <c r="L155" s="7" t="n">
        <f aca="false">H155-K155</f>
        <v>1907600</v>
      </c>
      <c r="M155" s="8" t="n">
        <f aca="false">IF(B155=0,0,K155/B155)</f>
        <v>0.378993377483444</v>
      </c>
      <c r="N155" s="7" t="n">
        <f aca="false">K155/가정!$B$8</f>
        <v>85842</v>
      </c>
      <c r="O155" s="7" t="n">
        <f aca="false">IF(I155&gt;0,A155,"")</f>
        <v>151</v>
      </c>
      <c r="P155" s="7" t="n">
        <f aca="false">IF(L155&gt;=0,A155,"")</f>
        <v>151</v>
      </c>
      <c r="Q155" s="7" t="n">
        <f aca="false">IF(K155&gt;=가정!$B$28,A155,"")</f>
        <v>151</v>
      </c>
      <c r="R155" s="7" t="str">
        <f aca="false">IF(MAX(0,I155)*(1-가정!$B$6)*'1억 상환'!$B$6&gt;='1억 상환'!$B$5,A155,"")</f>
        <v/>
      </c>
    </row>
    <row r="156" customFormat="false" ht="15" hidden="false" customHeight="false" outlineLevel="0" collapsed="false">
      <c r="A156" s="7" t="n">
        <v>152</v>
      </c>
      <c r="B156" s="7" t="n">
        <f aca="false">A156*가정!$B$10</f>
        <v>45600000</v>
      </c>
      <c r="C156" s="7" t="n">
        <f aca="false">가정!$B$30</f>
        <v>8600000</v>
      </c>
      <c r="D156" s="7" t="n">
        <f aca="false">ROUNDUP(MAX(0,A156-가정!$B$18)/가정!$B$19,0)</f>
        <v>5</v>
      </c>
      <c r="E156" s="7" t="n">
        <f aca="false">D156*가정!$B$20</f>
        <v>14000000</v>
      </c>
      <c r="F156" s="7" t="n">
        <f aca="false">A156*가정!$B$22+B156*가정!$B$23</f>
        <v>3648000</v>
      </c>
      <c r="G156" s="7" t="n">
        <f aca="false">B156*가정!$B$24</f>
        <v>0</v>
      </c>
      <c r="H156" s="7" t="n">
        <f aca="false">B156-C156-E156-F156-G156</f>
        <v>19352000</v>
      </c>
      <c r="I156" s="7" t="n">
        <f aca="false">H156-IF(가정!$B$7=1,가정!$B$5,0)</f>
        <v>19352000</v>
      </c>
      <c r="J156" s="7" t="n">
        <f aca="false">MAX(0,I156)*가정!$B$6</f>
        <v>17416800</v>
      </c>
      <c r="K156" s="7" t="n">
        <f aca="false">가정!$B$5+J156</f>
        <v>17416800</v>
      </c>
      <c r="L156" s="7" t="n">
        <f aca="false">H156-K156</f>
        <v>1935200</v>
      </c>
      <c r="M156" s="8" t="n">
        <f aca="false">IF(B156=0,0,K156/B156)</f>
        <v>0.381947368421053</v>
      </c>
      <c r="N156" s="7" t="n">
        <f aca="false">K156/가정!$B$8</f>
        <v>87084</v>
      </c>
      <c r="O156" s="7" t="n">
        <f aca="false">IF(I156&gt;0,A156,"")</f>
        <v>152</v>
      </c>
      <c r="P156" s="7" t="n">
        <f aca="false">IF(L156&gt;=0,A156,"")</f>
        <v>152</v>
      </c>
      <c r="Q156" s="7" t="n">
        <f aca="false">IF(K156&gt;=가정!$B$28,A156,"")</f>
        <v>152</v>
      </c>
      <c r="R156" s="7" t="str">
        <f aca="false">IF(MAX(0,I156)*(1-가정!$B$6)*'1억 상환'!$B$6&gt;='1억 상환'!$B$5,A156,"")</f>
        <v/>
      </c>
    </row>
    <row r="157" customFormat="false" ht="15" hidden="false" customHeight="false" outlineLevel="0" collapsed="false">
      <c r="A157" s="7" t="n">
        <v>153</v>
      </c>
      <c r="B157" s="7" t="n">
        <f aca="false">A157*가정!$B$10</f>
        <v>45900000</v>
      </c>
      <c r="C157" s="7" t="n">
        <f aca="false">가정!$B$30</f>
        <v>8600000</v>
      </c>
      <c r="D157" s="7" t="n">
        <f aca="false">ROUNDUP(MAX(0,A157-가정!$B$18)/가정!$B$19,0)</f>
        <v>5</v>
      </c>
      <c r="E157" s="7" t="n">
        <f aca="false">D157*가정!$B$20</f>
        <v>14000000</v>
      </c>
      <c r="F157" s="7" t="n">
        <f aca="false">A157*가정!$B$22+B157*가정!$B$23</f>
        <v>3672000</v>
      </c>
      <c r="G157" s="7" t="n">
        <f aca="false">B157*가정!$B$24</f>
        <v>0</v>
      </c>
      <c r="H157" s="7" t="n">
        <f aca="false">B157-C157-E157-F157-G157</f>
        <v>19628000</v>
      </c>
      <c r="I157" s="7" t="n">
        <f aca="false">H157-IF(가정!$B$7=1,가정!$B$5,0)</f>
        <v>19628000</v>
      </c>
      <c r="J157" s="7" t="n">
        <f aca="false">MAX(0,I157)*가정!$B$6</f>
        <v>17665200</v>
      </c>
      <c r="K157" s="7" t="n">
        <f aca="false">가정!$B$5+J157</f>
        <v>17665200</v>
      </c>
      <c r="L157" s="7" t="n">
        <f aca="false">H157-K157</f>
        <v>1962800</v>
      </c>
      <c r="M157" s="8" t="n">
        <f aca="false">IF(B157=0,0,K157/B157)</f>
        <v>0.384862745098039</v>
      </c>
      <c r="N157" s="7" t="n">
        <f aca="false">K157/가정!$B$8</f>
        <v>88326</v>
      </c>
      <c r="O157" s="7" t="n">
        <f aca="false">IF(I157&gt;0,A157,"")</f>
        <v>153</v>
      </c>
      <c r="P157" s="7" t="n">
        <f aca="false">IF(L157&gt;=0,A157,"")</f>
        <v>153</v>
      </c>
      <c r="Q157" s="7" t="n">
        <f aca="false">IF(K157&gt;=가정!$B$28,A157,"")</f>
        <v>153</v>
      </c>
      <c r="R157" s="7" t="str">
        <f aca="false">IF(MAX(0,I157)*(1-가정!$B$6)*'1억 상환'!$B$6&gt;='1억 상환'!$B$5,A157,"")</f>
        <v/>
      </c>
    </row>
    <row r="158" customFormat="false" ht="15" hidden="false" customHeight="false" outlineLevel="0" collapsed="false">
      <c r="A158" s="7" t="n">
        <v>154</v>
      </c>
      <c r="B158" s="7" t="n">
        <f aca="false">A158*가정!$B$10</f>
        <v>46200000</v>
      </c>
      <c r="C158" s="7" t="n">
        <f aca="false">가정!$B$30</f>
        <v>8600000</v>
      </c>
      <c r="D158" s="7" t="n">
        <f aca="false">ROUNDUP(MAX(0,A158-가정!$B$18)/가정!$B$19,0)</f>
        <v>5</v>
      </c>
      <c r="E158" s="7" t="n">
        <f aca="false">D158*가정!$B$20</f>
        <v>14000000</v>
      </c>
      <c r="F158" s="7" t="n">
        <f aca="false">A158*가정!$B$22+B158*가정!$B$23</f>
        <v>3696000</v>
      </c>
      <c r="G158" s="7" t="n">
        <f aca="false">B158*가정!$B$24</f>
        <v>0</v>
      </c>
      <c r="H158" s="7" t="n">
        <f aca="false">B158-C158-E158-F158-G158</f>
        <v>19904000</v>
      </c>
      <c r="I158" s="7" t="n">
        <f aca="false">H158-IF(가정!$B$7=1,가정!$B$5,0)</f>
        <v>19904000</v>
      </c>
      <c r="J158" s="7" t="n">
        <f aca="false">MAX(0,I158)*가정!$B$6</f>
        <v>17913600</v>
      </c>
      <c r="K158" s="7" t="n">
        <f aca="false">가정!$B$5+J158</f>
        <v>17913600</v>
      </c>
      <c r="L158" s="7" t="n">
        <f aca="false">H158-K158</f>
        <v>1990400</v>
      </c>
      <c r="M158" s="8" t="n">
        <f aca="false">IF(B158=0,0,K158/B158)</f>
        <v>0.38774025974026</v>
      </c>
      <c r="N158" s="7" t="n">
        <f aca="false">K158/가정!$B$8</f>
        <v>89568</v>
      </c>
      <c r="O158" s="7" t="n">
        <f aca="false">IF(I158&gt;0,A158,"")</f>
        <v>154</v>
      </c>
      <c r="P158" s="7" t="n">
        <f aca="false">IF(L158&gt;=0,A158,"")</f>
        <v>154</v>
      </c>
      <c r="Q158" s="7" t="n">
        <f aca="false">IF(K158&gt;=가정!$B$28,A158,"")</f>
        <v>154</v>
      </c>
      <c r="R158" s="7" t="str">
        <f aca="false">IF(MAX(0,I158)*(1-가정!$B$6)*'1억 상환'!$B$6&gt;='1억 상환'!$B$5,A158,"")</f>
        <v/>
      </c>
    </row>
    <row r="159" customFormat="false" ht="15" hidden="false" customHeight="false" outlineLevel="0" collapsed="false">
      <c r="A159" s="7" t="n">
        <v>155</v>
      </c>
      <c r="B159" s="7" t="n">
        <f aca="false">A159*가정!$B$10</f>
        <v>46500000</v>
      </c>
      <c r="C159" s="7" t="n">
        <f aca="false">가정!$B$30</f>
        <v>8600000</v>
      </c>
      <c r="D159" s="7" t="n">
        <f aca="false">ROUNDUP(MAX(0,A159-가정!$B$18)/가정!$B$19,0)</f>
        <v>5</v>
      </c>
      <c r="E159" s="7" t="n">
        <f aca="false">D159*가정!$B$20</f>
        <v>14000000</v>
      </c>
      <c r="F159" s="7" t="n">
        <f aca="false">A159*가정!$B$22+B159*가정!$B$23</f>
        <v>3720000</v>
      </c>
      <c r="G159" s="7" t="n">
        <f aca="false">B159*가정!$B$24</f>
        <v>0</v>
      </c>
      <c r="H159" s="7" t="n">
        <f aca="false">B159-C159-E159-F159-G159</f>
        <v>20180000</v>
      </c>
      <c r="I159" s="7" t="n">
        <f aca="false">H159-IF(가정!$B$7=1,가정!$B$5,0)</f>
        <v>20180000</v>
      </c>
      <c r="J159" s="7" t="n">
        <f aca="false">MAX(0,I159)*가정!$B$6</f>
        <v>18162000</v>
      </c>
      <c r="K159" s="7" t="n">
        <f aca="false">가정!$B$5+J159</f>
        <v>18162000</v>
      </c>
      <c r="L159" s="7" t="n">
        <f aca="false">H159-K159</f>
        <v>2018000</v>
      </c>
      <c r="M159" s="8" t="n">
        <f aca="false">IF(B159=0,0,K159/B159)</f>
        <v>0.39058064516129</v>
      </c>
      <c r="N159" s="7" t="n">
        <f aca="false">K159/가정!$B$8</f>
        <v>90810</v>
      </c>
      <c r="O159" s="7" t="n">
        <f aca="false">IF(I159&gt;0,A159,"")</f>
        <v>155</v>
      </c>
      <c r="P159" s="7" t="n">
        <f aca="false">IF(L159&gt;=0,A159,"")</f>
        <v>155</v>
      </c>
      <c r="Q159" s="7" t="n">
        <f aca="false">IF(K159&gt;=가정!$B$28,A159,"")</f>
        <v>155</v>
      </c>
      <c r="R159" s="7" t="str">
        <f aca="false">IF(MAX(0,I159)*(1-가정!$B$6)*'1억 상환'!$B$6&gt;='1억 상환'!$B$5,A159,"")</f>
        <v/>
      </c>
    </row>
    <row r="160" customFormat="false" ht="15" hidden="false" customHeight="false" outlineLevel="0" collapsed="false">
      <c r="A160" s="7" t="n">
        <v>156</v>
      </c>
      <c r="B160" s="7" t="n">
        <f aca="false">A160*가정!$B$10</f>
        <v>46800000</v>
      </c>
      <c r="C160" s="7" t="n">
        <f aca="false">가정!$B$30</f>
        <v>8600000</v>
      </c>
      <c r="D160" s="7" t="n">
        <f aca="false">ROUNDUP(MAX(0,A160-가정!$B$18)/가정!$B$19,0)</f>
        <v>5</v>
      </c>
      <c r="E160" s="7" t="n">
        <f aca="false">D160*가정!$B$20</f>
        <v>14000000</v>
      </c>
      <c r="F160" s="7" t="n">
        <f aca="false">A160*가정!$B$22+B160*가정!$B$23</f>
        <v>3744000</v>
      </c>
      <c r="G160" s="7" t="n">
        <f aca="false">B160*가정!$B$24</f>
        <v>0</v>
      </c>
      <c r="H160" s="7" t="n">
        <f aca="false">B160-C160-E160-F160-G160</f>
        <v>20456000</v>
      </c>
      <c r="I160" s="7" t="n">
        <f aca="false">H160-IF(가정!$B$7=1,가정!$B$5,0)</f>
        <v>20456000</v>
      </c>
      <c r="J160" s="7" t="n">
        <f aca="false">MAX(0,I160)*가정!$B$6</f>
        <v>18410400</v>
      </c>
      <c r="K160" s="7" t="n">
        <f aca="false">가정!$B$5+J160</f>
        <v>18410400</v>
      </c>
      <c r="L160" s="7" t="n">
        <f aca="false">H160-K160</f>
        <v>2045600</v>
      </c>
      <c r="M160" s="8" t="n">
        <f aca="false">IF(B160=0,0,K160/B160)</f>
        <v>0.393384615384615</v>
      </c>
      <c r="N160" s="7" t="n">
        <f aca="false">K160/가정!$B$8</f>
        <v>92052</v>
      </c>
      <c r="O160" s="7" t="n">
        <f aca="false">IF(I160&gt;0,A160,"")</f>
        <v>156</v>
      </c>
      <c r="P160" s="7" t="n">
        <f aca="false">IF(L160&gt;=0,A160,"")</f>
        <v>156</v>
      </c>
      <c r="Q160" s="7" t="n">
        <f aca="false">IF(K160&gt;=가정!$B$28,A160,"")</f>
        <v>156</v>
      </c>
      <c r="R160" s="7" t="str">
        <f aca="false">IF(MAX(0,I160)*(1-가정!$B$6)*'1억 상환'!$B$6&gt;='1억 상환'!$B$5,A160,"")</f>
        <v/>
      </c>
    </row>
    <row r="161" customFormat="false" ht="15" hidden="false" customHeight="false" outlineLevel="0" collapsed="false">
      <c r="A161" s="7" t="n">
        <v>157</v>
      </c>
      <c r="B161" s="7" t="n">
        <f aca="false">A161*가정!$B$10</f>
        <v>47100000</v>
      </c>
      <c r="C161" s="7" t="n">
        <f aca="false">가정!$B$30</f>
        <v>8600000</v>
      </c>
      <c r="D161" s="7" t="n">
        <f aca="false">ROUNDUP(MAX(0,A161-가정!$B$18)/가정!$B$19,0)</f>
        <v>5</v>
      </c>
      <c r="E161" s="7" t="n">
        <f aca="false">D161*가정!$B$20</f>
        <v>14000000</v>
      </c>
      <c r="F161" s="7" t="n">
        <f aca="false">A161*가정!$B$22+B161*가정!$B$23</f>
        <v>3768000</v>
      </c>
      <c r="G161" s="7" t="n">
        <f aca="false">B161*가정!$B$24</f>
        <v>0</v>
      </c>
      <c r="H161" s="7" t="n">
        <f aca="false">B161-C161-E161-F161-G161</f>
        <v>20732000</v>
      </c>
      <c r="I161" s="7" t="n">
        <f aca="false">H161-IF(가정!$B$7=1,가정!$B$5,0)</f>
        <v>20732000</v>
      </c>
      <c r="J161" s="7" t="n">
        <f aca="false">MAX(0,I161)*가정!$B$6</f>
        <v>18658800</v>
      </c>
      <c r="K161" s="7" t="n">
        <f aca="false">가정!$B$5+J161</f>
        <v>18658800</v>
      </c>
      <c r="L161" s="7" t="n">
        <f aca="false">H161-K161</f>
        <v>2073200</v>
      </c>
      <c r="M161" s="8" t="n">
        <f aca="false">IF(B161=0,0,K161/B161)</f>
        <v>0.396152866242038</v>
      </c>
      <c r="N161" s="7" t="n">
        <f aca="false">K161/가정!$B$8</f>
        <v>93294</v>
      </c>
      <c r="O161" s="7" t="n">
        <f aca="false">IF(I161&gt;0,A161,"")</f>
        <v>157</v>
      </c>
      <c r="P161" s="7" t="n">
        <f aca="false">IF(L161&gt;=0,A161,"")</f>
        <v>157</v>
      </c>
      <c r="Q161" s="7" t="n">
        <f aca="false">IF(K161&gt;=가정!$B$28,A161,"")</f>
        <v>157</v>
      </c>
      <c r="R161" s="7" t="str">
        <f aca="false">IF(MAX(0,I161)*(1-가정!$B$6)*'1억 상환'!$B$6&gt;='1억 상환'!$B$5,A161,"")</f>
        <v/>
      </c>
    </row>
    <row r="162" customFormat="false" ht="15" hidden="false" customHeight="false" outlineLevel="0" collapsed="false">
      <c r="A162" s="7" t="n">
        <v>158</v>
      </c>
      <c r="B162" s="7" t="n">
        <f aca="false">A162*가정!$B$10</f>
        <v>47400000</v>
      </c>
      <c r="C162" s="7" t="n">
        <f aca="false">가정!$B$30</f>
        <v>8600000</v>
      </c>
      <c r="D162" s="7" t="n">
        <f aca="false">ROUNDUP(MAX(0,A162-가정!$B$18)/가정!$B$19,0)</f>
        <v>5</v>
      </c>
      <c r="E162" s="7" t="n">
        <f aca="false">D162*가정!$B$20</f>
        <v>14000000</v>
      </c>
      <c r="F162" s="7" t="n">
        <f aca="false">A162*가정!$B$22+B162*가정!$B$23</f>
        <v>3792000</v>
      </c>
      <c r="G162" s="7" t="n">
        <f aca="false">B162*가정!$B$24</f>
        <v>0</v>
      </c>
      <c r="H162" s="7" t="n">
        <f aca="false">B162-C162-E162-F162-G162</f>
        <v>21008000</v>
      </c>
      <c r="I162" s="7" t="n">
        <f aca="false">H162-IF(가정!$B$7=1,가정!$B$5,0)</f>
        <v>21008000</v>
      </c>
      <c r="J162" s="7" t="n">
        <f aca="false">MAX(0,I162)*가정!$B$6</f>
        <v>18907200</v>
      </c>
      <c r="K162" s="7" t="n">
        <f aca="false">가정!$B$5+J162</f>
        <v>18907200</v>
      </c>
      <c r="L162" s="7" t="n">
        <f aca="false">H162-K162</f>
        <v>2100800</v>
      </c>
      <c r="M162" s="8" t="n">
        <f aca="false">IF(B162=0,0,K162/B162)</f>
        <v>0.398886075949367</v>
      </c>
      <c r="N162" s="7" t="n">
        <f aca="false">K162/가정!$B$8</f>
        <v>94536</v>
      </c>
      <c r="O162" s="7" t="n">
        <f aca="false">IF(I162&gt;0,A162,"")</f>
        <v>158</v>
      </c>
      <c r="P162" s="7" t="n">
        <f aca="false">IF(L162&gt;=0,A162,"")</f>
        <v>158</v>
      </c>
      <c r="Q162" s="7" t="n">
        <f aca="false">IF(K162&gt;=가정!$B$28,A162,"")</f>
        <v>158</v>
      </c>
      <c r="R162" s="7" t="str">
        <f aca="false">IF(MAX(0,I162)*(1-가정!$B$6)*'1억 상환'!$B$6&gt;='1억 상환'!$B$5,A162,"")</f>
        <v/>
      </c>
    </row>
    <row r="163" customFormat="false" ht="15" hidden="false" customHeight="false" outlineLevel="0" collapsed="false">
      <c r="A163" s="7" t="n">
        <v>159</v>
      </c>
      <c r="B163" s="7" t="n">
        <f aca="false">A163*가정!$B$10</f>
        <v>47700000</v>
      </c>
      <c r="C163" s="7" t="n">
        <f aca="false">가정!$B$30</f>
        <v>8600000</v>
      </c>
      <c r="D163" s="7" t="n">
        <f aca="false">ROUNDUP(MAX(0,A163-가정!$B$18)/가정!$B$19,0)</f>
        <v>5</v>
      </c>
      <c r="E163" s="7" t="n">
        <f aca="false">D163*가정!$B$20</f>
        <v>14000000</v>
      </c>
      <c r="F163" s="7" t="n">
        <f aca="false">A163*가정!$B$22+B163*가정!$B$23</f>
        <v>3816000</v>
      </c>
      <c r="G163" s="7" t="n">
        <f aca="false">B163*가정!$B$24</f>
        <v>0</v>
      </c>
      <c r="H163" s="7" t="n">
        <f aca="false">B163-C163-E163-F163-G163</f>
        <v>21284000</v>
      </c>
      <c r="I163" s="7" t="n">
        <f aca="false">H163-IF(가정!$B$7=1,가정!$B$5,0)</f>
        <v>21284000</v>
      </c>
      <c r="J163" s="7" t="n">
        <f aca="false">MAX(0,I163)*가정!$B$6</f>
        <v>19155600</v>
      </c>
      <c r="K163" s="7" t="n">
        <f aca="false">가정!$B$5+J163</f>
        <v>19155600</v>
      </c>
      <c r="L163" s="7" t="n">
        <f aca="false">H163-K163</f>
        <v>2128400</v>
      </c>
      <c r="M163" s="8" t="n">
        <f aca="false">IF(B163=0,0,K163/B163)</f>
        <v>0.401584905660377</v>
      </c>
      <c r="N163" s="7" t="n">
        <f aca="false">K163/가정!$B$8</f>
        <v>95778</v>
      </c>
      <c r="O163" s="7" t="n">
        <f aca="false">IF(I163&gt;0,A163,"")</f>
        <v>159</v>
      </c>
      <c r="P163" s="7" t="n">
        <f aca="false">IF(L163&gt;=0,A163,"")</f>
        <v>159</v>
      </c>
      <c r="Q163" s="7" t="n">
        <f aca="false">IF(K163&gt;=가정!$B$28,A163,"")</f>
        <v>159</v>
      </c>
      <c r="R163" s="7" t="str">
        <f aca="false">IF(MAX(0,I163)*(1-가정!$B$6)*'1억 상환'!$B$6&gt;='1억 상환'!$B$5,A163,"")</f>
        <v/>
      </c>
    </row>
    <row r="164" customFormat="false" ht="15" hidden="false" customHeight="false" outlineLevel="0" collapsed="false">
      <c r="A164" s="7" t="n">
        <v>160</v>
      </c>
      <c r="B164" s="7" t="n">
        <f aca="false">A164*가정!$B$10</f>
        <v>48000000</v>
      </c>
      <c r="C164" s="7" t="n">
        <f aca="false">가정!$B$30</f>
        <v>8600000</v>
      </c>
      <c r="D164" s="7" t="n">
        <f aca="false">ROUNDUP(MAX(0,A164-가정!$B$18)/가정!$B$19,0)</f>
        <v>5</v>
      </c>
      <c r="E164" s="7" t="n">
        <f aca="false">D164*가정!$B$20</f>
        <v>14000000</v>
      </c>
      <c r="F164" s="7" t="n">
        <f aca="false">A164*가정!$B$22+B164*가정!$B$23</f>
        <v>3840000</v>
      </c>
      <c r="G164" s="7" t="n">
        <f aca="false">B164*가정!$B$24</f>
        <v>0</v>
      </c>
      <c r="H164" s="7" t="n">
        <f aca="false">B164-C164-E164-F164-G164</f>
        <v>21560000</v>
      </c>
      <c r="I164" s="7" t="n">
        <f aca="false">H164-IF(가정!$B$7=1,가정!$B$5,0)</f>
        <v>21560000</v>
      </c>
      <c r="J164" s="7" t="n">
        <f aca="false">MAX(0,I164)*가정!$B$6</f>
        <v>19404000</v>
      </c>
      <c r="K164" s="7" t="n">
        <f aca="false">가정!$B$5+J164</f>
        <v>19404000</v>
      </c>
      <c r="L164" s="7" t="n">
        <f aca="false">H164-K164</f>
        <v>2156000</v>
      </c>
      <c r="M164" s="8" t="n">
        <f aca="false">IF(B164=0,0,K164/B164)</f>
        <v>0.40425</v>
      </c>
      <c r="N164" s="7" t="n">
        <f aca="false">K164/가정!$B$8</f>
        <v>97020</v>
      </c>
      <c r="O164" s="7" t="n">
        <f aca="false">IF(I164&gt;0,A164,"")</f>
        <v>160</v>
      </c>
      <c r="P164" s="7" t="n">
        <f aca="false">IF(L164&gt;=0,A164,"")</f>
        <v>160</v>
      </c>
      <c r="Q164" s="7" t="n">
        <f aca="false">IF(K164&gt;=가정!$B$28,A164,"")</f>
        <v>160</v>
      </c>
      <c r="R164" s="7" t="str">
        <f aca="false">IF(MAX(0,I164)*(1-가정!$B$6)*'1억 상환'!$B$6&gt;='1억 상환'!$B$5,A164,"")</f>
        <v/>
      </c>
    </row>
    <row r="165" customFormat="false" ht="15" hidden="false" customHeight="false" outlineLevel="0" collapsed="false">
      <c r="A165" s="7" t="n">
        <v>161</v>
      </c>
      <c r="B165" s="7" t="n">
        <f aca="false">A165*가정!$B$10</f>
        <v>48300000</v>
      </c>
      <c r="C165" s="7" t="n">
        <f aca="false">가정!$B$30</f>
        <v>8600000</v>
      </c>
      <c r="D165" s="7" t="n">
        <f aca="false">ROUNDUP(MAX(0,A165-가정!$B$18)/가정!$B$19,0)</f>
        <v>5</v>
      </c>
      <c r="E165" s="7" t="n">
        <f aca="false">D165*가정!$B$20</f>
        <v>14000000</v>
      </c>
      <c r="F165" s="7" t="n">
        <f aca="false">A165*가정!$B$22+B165*가정!$B$23</f>
        <v>3864000</v>
      </c>
      <c r="G165" s="7" t="n">
        <f aca="false">B165*가정!$B$24</f>
        <v>0</v>
      </c>
      <c r="H165" s="7" t="n">
        <f aca="false">B165-C165-E165-F165-G165</f>
        <v>21836000</v>
      </c>
      <c r="I165" s="7" t="n">
        <f aca="false">H165-IF(가정!$B$7=1,가정!$B$5,0)</f>
        <v>21836000</v>
      </c>
      <c r="J165" s="7" t="n">
        <f aca="false">MAX(0,I165)*가정!$B$6</f>
        <v>19652400</v>
      </c>
      <c r="K165" s="7" t="n">
        <f aca="false">가정!$B$5+J165</f>
        <v>19652400</v>
      </c>
      <c r="L165" s="7" t="n">
        <f aca="false">H165-K165</f>
        <v>2183600</v>
      </c>
      <c r="M165" s="8" t="n">
        <f aca="false">IF(B165=0,0,K165/B165)</f>
        <v>0.40688198757764</v>
      </c>
      <c r="N165" s="7" t="n">
        <f aca="false">K165/가정!$B$8</f>
        <v>98262</v>
      </c>
      <c r="O165" s="7" t="n">
        <f aca="false">IF(I165&gt;0,A165,"")</f>
        <v>161</v>
      </c>
      <c r="P165" s="7" t="n">
        <f aca="false">IF(L165&gt;=0,A165,"")</f>
        <v>161</v>
      </c>
      <c r="Q165" s="7" t="n">
        <f aca="false">IF(K165&gt;=가정!$B$28,A165,"")</f>
        <v>161</v>
      </c>
      <c r="R165" s="7" t="str">
        <f aca="false">IF(MAX(0,I165)*(1-가정!$B$6)*'1억 상환'!$B$6&gt;='1억 상환'!$B$5,A165,"")</f>
        <v/>
      </c>
    </row>
    <row r="166" customFormat="false" ht="15" hidden="false" customHeight="false" outlineLevel="0" collapsed="false">
      <c r="A166" s="7" t="n">
        <v>162</v>
      </c>
      <c r="B166" s="7" t="n">
        <f aca="false">A166*가정!$B$10</f>
        <v>48600000</v>
      </c>
      <c r="C166" s="7" t="n">
        <f aca="false">가정!$B$30</f>
        <v>8600000</v>
      </c>
      <c r="D166" s="7" t="n">
        <f aca="false">ROUNDUP(MAX(0,A166-가정!$B$18)/가정!$B$19,0)</f>
        <v>5</v>
      </c>
      <c r="E166" s="7" t="n">
        <f aca="false">D166*가정!$B$20</f>
        <v>14000000</v>
      </c>
      <c r="F166" s="7" t="n">
        <f aca="false">A166*가정!$B$22+B166*가정!$B$23</f>
        <v>3888000</v>
      </c>
      <c r="G166" s="7" t="n">
        <f aca="false">B166*가정!$B$24</f>
        <v>0</v>
      </c>
      <c r="H166" s="7" t="n">
        <f aca="false">B166-C166-E166-F166-G166</f>
        <v>22112000</v>
      </c>
      <c r="I166" s="7" t="n">
        <f aca="false">H166-IF(가정!$B$7=1,가정!$B$5,0)</f>
        <v>22112000</v>
      </c>
      <c r="J166" s="7" t="n">
        <f aca="false">MAX(0,I166)*가정!$B$6</f>
        <v>19900800</v>
      </c>
      <c r="K166" s="7" t="n">
        <f aca="false">가정!$B$5+J166</f>
        <v>19900800</v>
      </c>
      <c r="L166" s="7" t="n">
        <f aca="false">H166-K166</f>
        <v>2211200</v>
      </c>
      <c r="M166" s="8" t="n">
        <f aca="false">IF(B166=0,0,K166/B166)</f>
        <v>0.409481481481482</v>
      </c>
      <c r="N166" s="7" t="n">
        <f aca="false">K166/가정!$B$8</f>
        <v>99504</v>
      </c>
      <c r="O166" s="7" t="n">
        <f aca="false">IF(I166&gt;0,A166,"")</f>
        <v>162</v>
      </c>
      <c r="P166" s="7" t="n">
        <f aca="false">IF(L166&gt;=0,A166,"")</f>
        <v>162</v>
      </c>
      <c r="Q166" s="7" t="n">
        <f aca="false">IF(K166&gt;=가정!$B$28,A166,"")</f>
        <v>162</v>
      </c>
      <c r="R166" s="7" t="str">
        <f aca="false">IF(MAX(0,I166)*(1-가정!$B$6)*'1억 상환'!$B$6&gt;='1억 상환'!$B$5,A166,"")</f>
        <v/>
      </c>
    </row>
    <row r="167" customFormat="false" ht="15" hidden="false" customHeight="false" outlineLevel="0" collapsed="false">
      <c r="A167" s="7" t="n">
        <v>163</v>
      </c>
      <c r="B167" s="7" t="n">
        <f aca="false">A167*가정!$B$10</f>
        <v>48900000</v>
      </c>
      <c r="C167" s="7" t="n">
        <f aca="false">가정!$B$30</f>
        <v>8600000</v>
      </c>
      <c r="D167" s="7" t="n">
        <f aca="false">ROUNDUP(MAX(0,A167-가정!$B$18)/가정!$B$19,0)</f>
        <v>5</v>
      </c>
      <c r="E167" s="7" t="n">
        <f aca="false">D167*가정!$B$20</f>
        <v>14000000</v>
      </c>
      <c r="F167" s="7" t="n">
        <f aca="false">A167*가정!$B$22+B167*가정!$B$23</f>
        <v>3912000</v>
      </c>
      <c r="G167" s="7" t="n">
        <f aca="false">B167*가정!$B$24</f>
        <v>0</v>
      </c>
      <c r="H167" s="7" t="n">
        <f aca="false">B167-C167-E167-F167-G167</f>
        <v>22388000</v>
      </c>
      <c r="I167" s="7" t="n">
        <f aca="false">H167-IF(가정!$B$7=1,가정!$B$5,0)</f>
        <v>22388000</v>
      </c>
      <c r="J167" s="7" t="n">
        <f aca="false">MAX(0,I167)*가정!$B$6</f>
        <v>20149200</v>
      </c>
      <c r="K167" s="7" t="n">
        <f aca="false">가정!$B$5+J167</f>
        <v>20149200</v>
      </c>
      <c r="L167" s="7" t="n">
        <f aca="false">H167-K167</f>
        <v>2238800</v>
      </c>
      <c r="M167" s="8" t="n">
        <f aca="false">IF(B167=0,0,K167/B167)</f>
        <v>0.412049079754601</v>
      </c>
      <c r="N167" s="7" t="n">
        <f aca="false">K167/가정!$B$8</f>
        <v>100746</v>
      </c>
      <c r="O167" s="7" t="n">
        <f aca="false">IF(I167&gt;0,A167,"")</f>
        <v>163</v>
      </c>
      <c r="P167" s="7" t="n">
        <f aca="false">IF(L167&gt;=0,A167,"")</f>
        <v>163</v>
      </c>
      <c r="Q167" s="7" t="n">
        <f aca="false">IF(K167&gt;=가정!$B$28,A167,"")</f>
        <v>163</v>
      </c>
      <c r="R167" s="7" t="str">
        <f aca="false">IF(MAX(0,I167)*(1-가정!$B$6)*'1억 상환'!$B$6&gt;='1억 상환'!$B$5,A167,"")</f>
        <v/>
      </c>
    </row>
    <row r="168" customFormat="false" ht="15" hidden="false" customHeight="false" outlineLevel="0" collapsed="false">
      <c r="A168" s="7" t="n">
        <v>164</v>
      </c>
      <c r="B168" s="7" t="n">
        <f aca="false">A168*가정!$B$10</f>
        <v>49200000</v>
      </c>
      <c r="C168" s="7" t="n">
        <f aca="false">가정!$B$30</f>
        <v>8600000</v>
      </c>
      <c r="D168" s="7" t="n">
        <f aca="false">ROUNDUP(MAX(0,A168-가정!$B$18)/가정!$B$19,0)</f>
        <v>5</v>
      </c>
      <c r="E168" s="7" t="n">
        <f aca="false">D168*가정!$B$20</f>
        <v>14000000</v>
      </c>
      <c r="F168" s="7" t="n">
        <f aca="false">A168*가정!$B$22+B168*가정!$B$23</f>
        <v>3936000</v>
      </c>
      <c r="G168" s="7" t="n">
        <f aca="false">B168*가정!$B$24</f>
        <v>0</v>
      </c>
      <c r="H168" s="7" t="n">
        <f aca="false">B168-C168-E168-F168-G168</f>
        <v>22664000</v>
      </c>
      <c r="I168" s="7" t="n">
        <f aca="false">H168-IF(가정!$B$7=1,가정!$B$5,0)</f>
        <v>22664000</v>
      </c>
      <c r="J168" s="7" t="n">
        <f aca="false">MAX(0,I168)*가정!$B$6</f>
        <v>20397600</v>
      </c>
      <c r="K168" s="7" t="n">
        <f aca="false">가정!$B$5+J168</f>
        <v>20397600</v>
      </c>
      <c r="L168" s="7" t="n">
        <f aca="false">H168-K168</f>
        <v>2266400</v>
      </c>
      <c r="M168" s="8" t="n">
        <f aca="false">IF(B168=0,0,K168/B168)</f>
        <v>0.414585365853659</v>
      </c>
      <c r="N168" s="7" t="n">
        <f aca="false">K168/가정!$B$8</f>
        <v>101988</v>
      </c>
      <c r="O168" s="7" t="n">
        <f aca="false">IF(I168&gt;0,A168,"")</f>
        <v>164</v>
      </c>
      <c r="P168" s="7" t="n">
        <f aca="false">IF(L168&gt;=0,A168,"")</f>
        <v>164</v>
      </c>
      <c r="Q168" s="7" t="n">
        <f aca="false">IF(K168&gt;=가정!$B$28,A168,"")</f>
        <v>164</v>
      </c>
      <c r="R168" s="7" t="str">
        <f aca="false">IF(MAX(0,I168)*(1-가정!$B$6)*'1억 상환'!$B$6&gt;='1억 상환'!$B$5,A168,"")</f>
        <v/>
      </c>
    </row>
    <row r="169" customFormat="false" ht="15" hidden="false" customHeight="false" outlineLevel="0" collapsed="false">
      <c r="A169" s="7" t="n">
        <v>165</v>
      </c>
      <c r="B169" s="7" t="n">
        <f aca="false">A169*가정!$B$10</f>
        <v>49500000</v>
      </c>
      <c r="C169" s="7" t="n">
        <f aca="false">가정!$B$30</f>
        <v>8600000</v>
      </c>
      <c r="D169" s="7" t="n">
        <f aca="false">ROUNDUP(MAX(0,A169-가정!$B$18)/가정!$B$19,0)</f>
        <v>5</v>
      </c>
      <c r="E169" s="7" t="n">
        <f aca="false">D169*가정!$B$20</f>
        <v>14000000</v>
      </c>
      <c r="F169" s="7" t="n">
        <f aca="false">A169*가정!$B$22+B169*가정!$B$23</f>
        <v>3960000</v>
      </c>
      <c r="G169" s="7" t="n">
        <f aca="false">B169*가정!$B$24</f>
        <v>0</v>
      </c>
      <c r="H169" s="7" t="n">
        <f aca="false">B169-C169-E169-F169-G169</f>
        <v>22940000</v>
      </c>
      <c r="I169" s="7" t="n">
        <f aca="false">H169-IF(가정!$B$7=1,가정!$B$5,0)</f>
        <v>22940000</v>
      </c>
      <c r="J169" s="7" t="n">
        <f aca="false">MAX(0,I169)*가정!$B$6</f>
        <v>20646000</v>
      </c>
      <c r="K169" s="7" t="n">
        <f aca="false">가정!$B$5+J169</f>
        <v>20646000</v>
      </c>
      <c r="L169" s="7" t="n">
        <f aca="false">H169-K169</f>
        <v>2294000</v>
      </c>
      <c r="M169" s="8" t="n">
        <f aca="false">IF(B169=0,0,K169/B169)</f>
        <v>0.417090909090909</v>
      </c>
      <c r="N169" s="7" t="n">
        <f aca="false">K169/가정!$B$8</f>
        <v>103230</v>
      </c>
      <c r="O169" s="7" t="n">
        <f aca="false">IF(I169&gt;0,A169,"")</f>
        <v>165</v>
      </c>
      <c r="P169" s="7" t="n">
        <f aca="false">IF(L169&gt;=0,A169,"")</f>
        <v>165</v>
      </c>
      <c r="Q169" s="7" t="n">
        <f aca="false">IF(K169&gt;=가정!$B$28,A169,"")</f>
        <v>165</v>
      </c>
      <c r="R169" s="7" t="str">
        <f aca="false">IF(MAX(0,I169)*(1-가정!$B$6)*'1억 상환'!$B$6&gt;='1억 상환'!$B$5,A169,"")</f>
        <v/>
      </c>
    </row>
    <row r="170" customFormat="false" ht="15" hidden="false" customHeight="false" outlineLevel="0" collapsed="false">
      <c r="A170" s="7" t="n">
        <v>166</v>
      </c>
      <c r="B170" s="7" t="n">
        <f aca="false">A170*가정!$B$10</f>
        <v>49800000</v>
      </c>
      <c r="C170" s="7" t="n">
        <f aca="false">가정!$B$30</f>
        <v>8600000</v>
      </c>
      <c r="D170" s="7" t="n">
        <f aca="false">ROUNDUP(MAX(0,A170-가정!$B$18)/가정!$B$19,0)</f>
        <v>5</v>
      </c>
      <c r="E170" s="7" t="n">
        <f aca="false">D170*가정!$B$20</f>
        <v>14000000</v>
      </c>
      <c r="F170" s="7" t="n">
        <f aca="false">A170*가정!$B$22+B170*가정!$B$23</f>
        <v>3984000</v>
      </c>
      <c r="G170" s="7" t="n">
        <f aca="false">B170*가정!$B$24</f>
        <v>0</v>
      </c>
      <c r="H170" s="7" t="n">
        <f aca="false">B170-C170-E170-F170-G170</f>
        <v>23216000</v>
      </c>
      <c r="I170" s="7" t="n">
        <f aca="false">H170-IF(가정!$B$7=1,가정!$B$5,0)</f>
        <v>23216000</v>
      </c>
      <c r="J170" s="7" t="n">
        <f aca="false">MAX(0,I170)*가정!$B$6</f>
        <v>20894400</v>
      </c>
      <c r="K170" s="7" t="n">
        <f aca="false">가정!$B$5+J170</f>
        <v>20894400</v>
      </c>
      <c r="L170" s="7" t="n">
        <f aca="false">H170-K170</f>
        <v>2321600</v>
      </c>
      <c r="M170" s="8" t="n">
        <f aca="false">IF(B170=0,0,K170/B170)</f>
        <v>0.419566265060241</v>
      </c>
      <c r="N170" s="7" t="n">
        <f aca="false">K170/가정!$B$8</f>
        <v>104472</v>
      </c>
      <c r="O170" s="7" t="n">
        <f aca="false">IF(I170&gt;0,A170,"")</f>
        <v>166</v>
      </c>
      <c r="P170" s="7" t="n">
        <f aca="false">IF(L170&gt;=0,A170,"")</f>
        <v>166</v>
      </c>
      <c r="Q170" s="7" t="n">
        <f aca="false">IF(K170&gt;=가정!$B$28,A170,"")</f>
        <v>166</v>
      </c>
      <c r="R170" s="7" t="str">
        <f aca="false">IF(MAX(0,I170)*(1-가정!$B$6)*'1억 상환'!$B$6&gt;='1억 상환'!$B$5,A170,"")</f>
        <v/>
      </c>
    </row>
    <row r="171" customFormat="false" ht="15" hidden="false" customHeight="false" outlineLevel="0" collapsed="false">
      <c r="A171" s="7" t="n">
        <v>167</v>
      </c>
      <c r="B171" s="7" t="n">
        <f aca="false">A171*가정!$B$10</f>
        <v>50100000</v>
      </c>
      <c r="C171" s="7" t="n">
        <f aca="false">가정!$B$30</f>
        <v>8600000</v>
      </c>
      <c r="D171" s="7" t="n">
        <f aca="false">ROUNDUP(MAX(0,A171-가정!$B$18)/가정!$B$19,0)</f>
        <v>5</v>
      </c>
      <c r="E171" s="7" t="n">
        <f aca="false">D171*가정!$B$20</f>
        <v>14000000</v>
      </c>
      <c r="F171" s="7" t="n">
        <f aca="false">A171*가정!$B$22+B171*가정!$B$23</f>
        <v>4008000</v>
      </c>
      <c r="G171" s="7" t="n">
        <f aca="false">B171*가정!$B$24</f>
        <v>0</v>
      </c>
      <c r="H171" s="7" t="n">
        <f aca="false">B171-C171-E171-F171-G171</f>
        <v>23492000</v>
      </c>
      <c r="I171" s="7" t="n">
        <f aca="false">H171-IF(가정!$B$7=1,가정!$B$5,0)</f>
        <v>23492000</v>
      </c>
      <c r="J171" s="7" t="n">
        <f aca="false">MAX(0,I171)*가정!$B$6</f>
        <v>21142800</v>
      </c>
      <c r="K171" s="7" t="n">
        <f aca="false">가정!$B$5+J171</f>
        <v>21142800</v>
      </c>
      <c r="L171" s="7" t="n">
        <f aca="false">H171-K171</f>
        <v>2349200</v>
      </c>
      <c r="M171" s="8" t="n">
        <f aca="false">IF(B171=0,0,K171/B171)</f>
        <v>0.422011976047904</v>
      </c>
      <c r="N171" s="7" t="n">
        <f aca="false">K171/가정!$B$8</f>
        <v>105714</v>
      </c>
      <c r="O171" s="7" t="n">
        <f aca="false">IF(I171&gt;0,A171,"")</f>
        <v>167</v>
      </c>
      <c r="P171" s="7" t="n">
        <f aca="false">IF(L171&gt;=0,A171,"")</f>
        <v>167</v>
      </c>
      <c r="Q171" s="7" t="n">
        <f aca="false">IF(K171&gt;=가정!$B$28,A171,"")</f>
        <v>167</v>
      </c>
      <c r="R171" s="7" t="str">
        <f aca="false">IF(MAX(0,I171)*(1-가정!$B$6)*'1억 상환'!$B$6&gt;='1억 상환'!$B$5,A171,"")</f>
        <v/>
      </c>
    </row>
    <row r="172" customFormat="false" ht="15" hidden="false" customHeight="false" outlineLevel="0" collapsed="false">
      <c r="A172" s="7" t="n">
        <v>168</v>
      </c>
      <c r="B172" s="7" t="n">
        <f aca="false">A172*가정!$B$10</f>
        <v>50400000</v>
      </c>
      <c r="C172" s="7" t="n">
        <f aca="false">가정!$B$30</f>
        <v>8600000</v>
      </c>
      <c r="D172" s="7" t="n">
        <f aca="false">ROUNDUP(MAX(0,A172-가정!$B$18)/가정!$B$19,0)</f>
        <v>5</v>
      </c>
      <c r="E172" s="7" t="n">
        <f aca="false">D172*가정!$B$20</f>
        <v>14000000</v>
      </c>
      <c r="F172" s="7" t="n">
        <f aca="false">A172*가정!$B$22+B172*가정!$B$23</f>
        <v>4032000</v>
      </c>
      <c r="G172" s="7" t="n">
        <f aca="false">B172*가정!$B$24</f>
        <v>0</v>
      </c>
      <c r="H172" s="7" t="n">
        <f aca="false">B172-C172-E172-F172-G172</f>
        <v>23768000</v>
      </c>
      <c r="I172" s="7" t="n">
        <f aca="false">H172-IF(가정!$B$7=1,가정!$B$5,0)</f>
        <v>23768000</v>
      </c>
      <c r="J172" s="7" t="n">
        <f aca="false">MAX(0,I172)*가정!$B$6</f>
        <v>21391200</v>
      </c>
      <c r="K172" s="7" t="n">
        <f aca="false">가정!$B$5+J172</f>
        <v>21391200</v>
      </c>
      <c r="L172" s="7" t="n">
        <f aca="false">H172-K172</f>
        <v>2376800</v>
      </c>
      <c r="M172" s="8" t="n">
        <f aca="false">IF(B172=0,0,K172/B172)</f>
        <v>0.424428571428571</v>
      </c>
      <c r="N172" s="7" t="n">
        <f aca="false">K172/가정!$B$8</f>
        <v>106956</v>
      </c>
      <c r="O172" s="7" t="n">
        <f aca="false">IF(I172&gt;0,A172,"")</f>
        <v>168</v>
      </c>
      <c r="P172" s="7" t="n">
        <f aca="false">IF(L172&gt;=0,A172,"")</f>
        <v>168</v>
      </c>
      <c r="Q172" s="7" t="n">
        <f aca="false">IF(K172&gt;=가정!$B$28,A172,"")</f>
        <v>168</v>
      </c>
      <c r="R172" s="7" t="str">
        <f aca="false">IF(MAX(0,I172)*(1-가정!$B$6)*'1억 상환'!$B$6&gt;='1억 상환'!$B$5,A172,"")</f>
        <v/>
      </c>
    </row>
    <row r="173" customFormat="false" ht="15" hidden="false" customHeight="false" outlineLevel="0" collapsed="false">
      <c r="A173" s="7" t="n">
        <v>169</v>
      </c>
      <c r="B173" s="7" t="n">
        <f aca="false">A173*가정!$B$10</f>
        <v>50700000</v>
      </c>
      <c r="C173" s="7" t="n">
        <f aca="false">가정!$B$30</f>
        <v>8600000</v>
      </c>
      <c r="D173" s="7" t="n">
        <f aca="false">ROUNDUP(MAX(0,A173-가정!$B$18)/가정!$B$19,0)</f>
        <v>5</v>
      </c>
      <c r="E173" s="7" t="n">
        <f aca="false">D173*가정!$B$20</f>
        <v>14000000</v>
      </c>
      <c r="F173" s="7" t="n">
        <f aca="false">A173*가정!$B$22+B173*가정!$B$23</f>
        <v>4056000</v>
      </c>
      <c r="G173" s="7" t="n">
        <f aca="false">B173*가정!$B$24</f>
        <v>0</v>
      </c>
      <c r="H173" s="7" t="n">
        <f aca="false">B173-C173-E173-F173-G173</f>
        <v>24044000</v>
      </c>
      <c r="I173" s="7" t="n">
        <f aca="false">H173-IF(가정!$B$7=1,가정!$B$5,0)</f>
        <v>24044000</v>
      </c>
      <c r="J173" s="7" t="n">
        <f aca="false">MAX(0,I173)*가정!$B$6</f>
        <v>21639600</v>
      </c>
      <c r="K173" s="7" t="n">
        <f aca="false">가정!$B$5+J173</f>
        <v>21639600</v>
      </c>
      <c r="L173" s="7" t="n">
        <f aca="false">H173-K173</f>
        <v>2404400</v>
      </c>
      <c r="M173" s="8" t="n">
        <f aca="false">IF(B173=0,0,K173/B173)</f>
        <v>0.426816568047337</v>
      </c>
      <c r="N173" s="7" t="n">
        <f aca="false">K173/가정!$B$8</f>
        <v>108198</v>
      </c>
      <c r="O173" s="7" t="n">
        <f aca="false">IF(I173&gt;0,A173,"")</f>
        <v>169</v>
      </c>
      <c r="P173" s="7" t="n">
        <f aca="false">IF(L173&gt;=0,A173,"")</f>
        <v>169</v>
      </c>
      <c r="Q173" s="7" t="n">
        <f aca="false">IF(K173&gt;=가정!$B$28,A173,"")</f>
        <v>169</v>
      </c>
      <c r="R173" s="7" t="str">
        <f aca="false">IF(MAX(0,I173)*(1-가정!$B$6)*'1억 상환'!$B$6&gt;='1억 상환'!$B$5,A173,"")</f>
        <v/>
      </c>
    </row>
    <row r="174" customFormat="false" ht="15" hidden="false" customHeight="false" outlineLevel="0" collapsed="false">
      <c r="A174" s="7" t="n">
        <v>170</v>
      </c>
      <c r="B174" s="7" t="n">
        <f aca="false">A174*가정!$B$10</f>
        <v>51000000</v>
      </c>
      <c r="C174" s="7" t="n">
        <f aca="false">가정!$B$30</f>
        <v>8600000</v>
      </c>
      <c r="D174" s="7" t="n">
        <f aca="false">ROUNDUP(MAX(0,A174-가정!$B$18)/가정!$B$19,0)</f>
        <v>5</v>
      </c>
      <c r="E174" s="7" t="n">
        <f aca="false">D174*가정!$B$20</f>
        <v>14000000</v>
      </c>
      <c r="F174" s="7" t="n">
        <f aca="false">A174*가정!$B$22+B174*가정!$B$23</f>
        <v>4080000</v>
      </c>
      <c r="G174" s="7" t="n">
        <f aca="false">B174*가정!$B$24</f>
        <v>0</v>
      </c>
      <c r="H174" s="7" t="n">
        <f aca="false">B174-C174-E174-F174-G174</f>
        <v>24320000</v>
      </c>
      <c r="I174" s="7" t="n">
        <f aca="false">H174-IF(가정!$B$7=1,가정!$B$5,0)</f>
        <v>24320000</v>
      </c>
      <c r="J174" s="7" t="n">
        <f aca="false">MAX(0,I174)*가정!$B$6</f>
        <v>21888000</v>
      </c>
      <c r="K174" s="7" t="n">
        <f aca="false">가정!$B$5+J174</f>
        <v>21888000</v>
      </c>
      <c r="L174" s="7" t="n">
        <f aca="false">H174-K174</f>
        <v>2432000</v>
      </c>
      <c r="M174" s="8" t="n">
        <f aca="false">IF(B174=0,0,K174/B174)</f>
        <v>0.429176470588235</v>
      </c>
      <c r="N174" s="7" t="n">
        <f aca="false">K174/가정!$B$8</f>
        <v>109440</v>
      </c>
      <c r="O174" s="7" t="n">
        <f aca="false">IF(I174&gt;0,A174,"")</f>
        <v>170</v>
      </c>
      <c r="P174" s="7" t="n">
        <f aca="false">IF(L174&gt;=0,A174,"")</f>
        <v>170</v>
      </c>
      <c r="Q174" s="7" t="n">
        <f aca="false">IF(K174&gt;=가정!$B$28,A174,"")</f>
        <v>170</v>
      </c>
      <c r="R174" s="7" t="str">
        <f aca="false">IF(MAX(0,I174)*(1-가정!$B$6)*'1억 상환'!$B$6&gt;='1억 상환'!$B$5,A174,"")</f>
        <v/>
      </c>
    </row>
    <row r="175" customFormat="false" ht="15" hidden="false" customHeight="false" outlineLevel="0" collapsed="false">
      <c r="A175" s="7" t="n">
        <v>171</v>
      </c>
      <c r="B175" s="7" t="n">
        <f aca="false">A175*가정!$B$10</f>
        <v>51300000</v>
      </c>
      <c r="C175" s="7" t="n">
        <f aca="false">가정!$B$30</f>
        <v>8600000</v>
      </c>
      <c r="D175" s="7" t="n">
        <f aca="false">ROUNDUP(MAX(0,A175-가정!$B$18)/가정!$B$19,0)</f>
        <v>6</v>
      </c>
      <c r="E175" s="7" t="n">
        <f aca="false">D175*가정!$B$20</f>
        <v>16800000</v>
      </c>
      <c r="F175" s="7" t="n">
        <f aca="false">A175*가정!$B$22+B175*가정!$B$23</f>
        <v>4104000</v>
      </c>
      <c r="G175" s="7" t="n">
        <f aca="false">B175*가정!$B$24</f>
        <v>0</v>
      </c>
      <c r="H175" s="7" t="n">
        <f aca="false">B175-C175-E175-F175-G175</f>
        <v>21796000</v>
      </c>
      <c r="I175" s="7" t="n">
        <f aca="false">H175-IF(가정!$B$7=1,가정!$B$5,0)</f>
        <v>21796000</v>
      </c>
      <c r="J175" s="7" t="n">
        <f aca="false">MAX(0,I175)*가정!$B$6</f>
        <v>19616400</v>
      </c>
      <c r="K175" s="7" t="n">
        <f aca="false">가정!$B$5+J175</f>
        <v>19616400</v>
      </c>
      <c r="L175" s="7" t="n">
        <f aca="false">H175-K175</f>
        <v>2179600</v>
      </c>
      <c r="M175" s="8" t="n">
        <f aca="false">IF(B175=0,0,K175/B175)</f>
        <v>0.382385964912281</v>
      </c>
      <c r="N175" s="7" t="n">
        <f aca="false">K175/가정!$B$8</f>
        <v>98082</v>
      </c>
      <c r="O175" s="7" t="n">
        <f aca="false">IF(I175&gt;0,A175,"")</f>
        <v>171</v>
      </c>
      <c r="P175" s="7" t="n">
        <f aca="false">IF(L175&gt;=0,A175,"")</f>
        <v>171</v>
      </c>
      <c r="Q175" s="7" t="n">
        <f aca="false">IF(K175&gt;=가정!$B$28,A175,"")</f>
        <v>171</v>
      </c>
      <c r="R175" s="7" t="str">
        <f aca="false">IF(MAX(0,I175)*(1-가정!$B$6)*'1억 상환'!$B$6&gt;='1억 상환'!$B$5,A175,"")</f>
        <v/>
      </c>
    </row>
    <row r="176" customFormat="false" ht="15" hidden="false" customHeight="false" outlineLevel="0" collapsed="false">
      <c r="A176" s="7" t="n">
        <v>172</v>
      </c>
      <c r="B176" s="7" t="n">
        <f aca="false">A176*가정!$B$10</f>
        <v>51600000</v>
      </c>
      <c r="C176" s="7" t="n">
        <f aca="false">가정!$B$30</f>
        <v>8600000</v>
      </c>
      <c r="D176" s="7" t="n">
        <f aca="false">ROUNDUP(MAX(0,A176-가정!$B$18)/가정!$B$19,0)</f>
        <v>6</v>
      </c>
      <c r="E176" s="7" t="n">
        <f aca="false">D176*가정!$B$20</f>
        <v>16800000</v>
      </c>
      <c r="F176" s="7" t="n">
        <f aca="false">A176*가정!$B$22+B176*가정!$B$23</f>
        <v>4128000</v>
      </c>
      <c r="G176" s="7" t="n">
        <f aca="false">B176*가정!$B$24</f>
        <v>0</v>
      </c>
      <c r="H176" s="7" t="n">
        <f aca="false">B176-C176-E176-F176-G176</f>
        <v>22072000</v>
      </c>
      <c r="I176" s="7" t="n">
        <f aca="false">H176-IF(가정!$B$7=1,가정!$B$5,0)</f>
        <v>22072000</v>
      </c>
      <c r="J176" s="7" t="n">
        <f aca="false">MAX(0,I176)*가정!$B$6</f>
        <v>19864800</v>
      </c>
      <c r="K176" s="7" t="n">
        <f aca="false">가정!$B$5+J176</f>
        <v>19864800</v>
      </c>
      <c r="L176" s="7" t="n">
        <f aca="false">H176-K176</f>
        <v>2207200</v>
      </c>
      <c r="M176" s="8" t="n">
        <f aca="false">IF(B176=0,0,K176/B176)</f>
        <v>0.384976744186047</v>
      </c>
      <c r="N176" s="7" t="n">
        <f aca="false">K176/가정!$B$8</f>
        <v>99324</v>
      </c>
      <c r="O176" s="7" t="n">
        <f aca="false">IF(I176&gt;0,A176,"")</f>
        <v>172</v>
      </c>
      <c r="P176" s="7" t="n">
        <f aca="false">IF(L176&gt;=0,A176,"")</f>
        <v>172</v>
      </c>
      <c r="Q176" s="7" t="n">
        <f aca="false">IF(K176&gt;=가정!$B$28,A176,"")</f>
        <v>172</v>
      </c>
      <c r="R176" s="7" t="str">
        <f aca="false">IF(MAX(0,I176)*(1-가정!$B$6)*'1억 상환'!$B$6&gt;='1억 상환'!$B$5,A176,"")</f>
        <v/>
      </c>
    </row>
    <row r="177" customFormat="false" ht="15" hidden="false" customHeight="false" outlineLevel="0" collapsed="false">
      <c r="A177" s="7" t="n">
        <v>173</v>
      </c>
      <c r="B177" s="7" t="n">
        <f aca="false">A177*가정!$B$10</f>
        <v>51900000</v>
      </c>
      <c r="C177" s="7" t="n">
        <f aca="false">가정!$B$30</f>
        <v>8600000</v>
      </c>
      <c r="D177" s="7" t="n">
        <f aca="false">ROUNDUP(MAX(0,A177-가정!$B$18)/가정!$B$19,0)</f>
        <v>6</v>
      </c>
      <c r="E177" s="7" t="n">
        <f aca="false">D177*가정!$B$20</f>
        <v>16800000</v>
      </c>
      <c r="F177" s="7" t="n">
        <f aca="false">A177*가정!$B$22+B177*가정!$B$23</f>
        <v>4152000</v>
      </c>
      <c r="G177" s="7" t="n">
        <f aca="false">B177*가정!$B$24</f>
        <v>0</v>
      </c>
      <c r="H177" s="7" t="n">
        <f aca="false">B177-C177-E177-F177-G177</f>
        <v>22348000</v>
      </c>
      <c r="I177" s="7" t="n">
        <f aca="false">H177-IF(가정!$B$7=1,가정!$B$5,0)</f>
        <v>22348000</v>
      </c>
      <c r="J177" s="7" t="n">
        <f aca="false">MAX(0,I177)*가정!$B$6</f>
        <v>20113200</v>
      </c>
      <c r="K177" s="7" t="n">
        <f aca="false">가정!$B$5+J177</f>
        <v>20113200</v>
      </c>
      <c r="L177" s="7" t="n">
        <f aca="false">H177-K177</f>
        <v>2234800</v>
      </c>
      <c r="M177" s="8" t="n">
        <f aca="false">IF(B177=0,0,K177/B177)</f>
        <v>0.387537572254335</v>
      </c>
      <c r="N177" s="7" t="n">
        <f aca="false">K177/가정!$B$8</f>
        <v>100566</v>
      </c>
      <c r="O177" s="7" t="n">
        <f aca="false">IF(I177&gt;0,A177,"")</f>
        <v>173</v>
      </c>
      <c r="P177" s="7" t="n">
        <f aca="false">IF(L177&gt;=0,A177,"")</f>
        <v>173</v>
      </c>
      <c r="Q177" s="7" t="n">
        <f aca="false">IF(K177&gt;=가정!$B$28,A177,"")</f>
        <v>173</v>
      </c>
      <c r="R177" s="7" t="str">
        <f aca="false">IF(MAX(0,I177)*(1-가정!$B$6)*'1억 상환'!$B$6&gt;='1억 상환'!$B$5,A177,"")</f>
        <v/>
      </c>
    </row>
    <row r="178" customFormat="false" ht="15" hidden="false" customHeight="false" outlineLevel="0" collapsed="false">
      <c r="A178" s="7" t="n">
        <v>174</v>
      </c>
      <c r="B178" s="7" t="n">
        <f aca="false">A178*가정!$B$10</f>
        <v>52200000</v>
      </c>
      <c r="C178" s="7" t="n">
        <f aca="false">가정!$B$30</f>
        <v>8600000</v>
      </c>
      <c r="D178" s="7" t="n">
        <f aca="false">ROUNDUP(MAX(0,A178-가정!$B$18)/가정!$B$19,0)</f>
        <v>6</v>
      </c>
      <c r="E178" s="7" t="n">
        <f aca="false">D178*가정!$B$20</f>
        <v>16800000</v>
      </c>
      <c r="F178" s="7" t="n">
        <f aca="false">A178*가정!$B$22+B178*가정!$B$23</f>
        <v>4176000</v>
      </c>
      <c r="G178" s="7" t="n">
        <f aca="false">B178*가정!$B$24</f>
        <v>0</v>
      </c>
      <c r="H178" s="7" t="n">
        <f aca="false">B178-C178-E178-F178-G178</f>
        <v>22624000</v>
      </c>
      <c r="I178" s="7" t="n">
        <f aca="false">H178-IF(가정!$B$7=1,가정!$B$5,0)</f>
        <v>22624000</v>
      </c>
      <c r="J178" s="7" t="n">
        <f aca="false">MAX(0,I178)*가정!$B$6</f>
        <v>20361600</v>
      </c>
      <c r="K178" s="7" t="n">
        <f aca="false">가정!$B$5+J178</f>
        <v>20361600</v>
      </c>
      <c r="L178" s="7" t="n">
        <f aca="false">H178-K178</f>
        <v>2262400</v>
      </c>
      <c r="M178" s="8" t="n">
        <f aca="false">IF(B178=0,0,K178/B178)</f>
        <v>0.390068965517241</v>
      </c>
      <c r="N178" s="7" t="n">
        <f aca="false">K178/가정!$B$8</f>
        <v>101808</v>
      </c>
      <c r="O178" s="7" t="n">
        <f aca="false">IF(I178&gt;0,A178,"")</f>
        <v>174</v>
      </c>
      <c r="P178" s="7" t="n">
        <f aca="false">IF(L178&gt;=0,A178,"")</f>
        <v>174</v>
      </c>
      <c r="Q178" s="7" t="n">
        <f aca="false">IF(K178&gt;=가정!$B$28,A178,"")</f>
        <v>174</v>
      </c>
      <c r="R178" s="7" t="str">
        <f aca="false">IF(MAX(0,I178)*(1-가정!$B$6)*'1억 상환'!$B$6&gt;='1억 상환'!$B$5,A178,"")</f>
        <v/>
      </c>
    </row>
    <row r="179" customFormat="false" ht="15" hidden="false" customHeight="false" outlineLevel="0" collapsed="false">
      <c r="A179" s="7" t="n">
        <v>175</v>
      </c>
      <c r="B179" s="7" t="n">
        <f aca="false">A179*가정!$B$10</f>
        <v>52500000</v>
      </c>
      <c r="C179" s="7" t="n">
        <f aca="false">가정!$B$30</f>
        <v>8600000</v>
      </c>
      <c r="D179" s="7" t="n">
        <f aca="false">ROUNDUP(MAX(0,A179-가정!$B$18)/가정!$B$19,0)</f>
        <v>6</v>
      </c>
      <c r="E179" s="7" t="n">
        <f aca="false">D179*가정!$B$20</f>
        <v>16800000</v>
      </c>
      <c r="F179" s="7" t="n">
        <f aca="false">A179*가정!$B$22+B179*가정!$B$23</f>
        <v>4200000</v>
      </c>
      <c r="G179" s="7" t="n">
        <f aca="false">B179*가정!$B$24</f>
        <v>0</v>
      </c>
      <c r="H179" s="7" t="n">
        <f aca="false">B179-C179-E179-F179-G179</f>
        <v>22900000</v>
      </c>
      <c r="I179" s="7" t="n">
        <f aca="false">H179-IF(가정!$B$7=1,가정!$B$5,0)</f>
        <v>22900000</v>
      </c>
      <c r="J179" s="7" t="n">
        <f aca="false">MAX(0,I179)*가정!$B$6</f>
        <v>20610000</v>
      </c>
      <c r="K179" s="7" t="n">
        <f aca="false">가정!$B$5+J179</f>
        <v>20610000</v>
      </c>
      <c r="L179" s="7" t="n">
        <f aca="false">H179-K179</f>
        <v>2290000</v>
      </c>
      <c r="M179" s="8" t="n">
        <f aca="false">IF(B179=0,0,K179/B179)</f>
        <v>0.392571428571429</v>
      </c>
      <c r="N179" s="7" t="n">
        <f aca="false">K179/가정!$B$8</f>
        <v>103050</v>
      </c>
      <c r="O179" s="7" t="n">
        <f aca="false">IF(I179&gt;0,A179,"")</f>
        <v>175</v>
      </c>
      <c r="P179" s="7" t="n">
        <f aca="false">IF(L179&gt;=0,A179,"")</f>
        <v>175</v>
      </c>
      <c r="Q179" s="7" t="n">
        <f aca="false">IF(K179&gt;=가정!$B$28,A179,"")</f>
        <v>175</v>
      </c>
      <c r="R179" s="7" t="str">
        <f aca="false">IF(MAX(0,I179)*(1-가정!$B$6)*'1억 상환'!$B$6&gt;='1억 상환'!$B$5,A179,"")</f>
        <v/>
      </c>
    </row>
    <row r="180" customFormat="false" ht="15" hidden="false" customHeight="false" outlineLevel="0" collapsed="false">
      <c r="A180" s="7" t="n">
        <v>176</v>
      </c>
      <c r="B180" s="7" t="n">
        <f aca="false">A180*가정!$B$10</f>
        <v>52800000</v>
      </c>
      <c r="C180" s="7" t="n">
        <f aca="false">가정!$B$30</f>
        <v>8600000</v>
      </c>
      <c r="D180" s="7" t="n">
        <f aca="false">ROUNDUP(MAX(0,A180-가정!$B$18)/가정!$B$19,0)</f>
        <v>6</v>
      </c>
      <c r="E180" s="7" t="n">
        <f aca="false">D180*가정!$B$20</f>
        <v>16800000</v>
      </c>
      <c r="F180" s="7" t="n">
        <f aca="false">A180*가정!$B$22+B180*가정!$B$23</f>
        <v>4224000</v>
      </c>
      <c r="G180" s="7" t="n">
        <f aca="false">B180*가정!$B$24</f>
        <v>0</v>
      </c>
      <c r="H180" s="7" t="n">
        <f aca="false">B180-C180-E180-F180-G180</f>
        <v>23176000</v>
      </c>
      <c r="I180" s="7" t="n">
        <f aca="false">H180-IF(가정!$B$7=1,가정!$B$5,0)</f>
        <v>23176000</v>
      </c>
      <c r="J180" s="7" t="n">
        <f aca="false">MAX(0,I180)*가정!$B$6</f>
        <v>20858400</v>
      </c>
      <c r="K180" s="7" t="n">
        <f aca="false">가정!$B$5+J180</f>
        <v>20858400</v>
      </c>
      <c r="L180" s="7" t="n">
        <f aca="false">H180-K180</f>
        <v>2317600</v>
      </c>
      <c r="M180" s="8" t="n">
        <f aca="false">IF(B180=0,0,K180/B180)</f>
        <v>0.395045454545455</v>
      </c>
      <c r="N180" s="7" t="n">
        <f aca="false">K180/가정!$B$8</f>
        <v>104292</v>
      </c>
      <c r="O180" s="7" t="n">
        <f aca="false">IF(I180&gt;0,A180,"")</f>
        <v>176</v>
      </c>
      <c r="P180" s="7" t="n">
        <f aca="false">IF(L180&gt;=0,A180,"")</f>
        <v>176</v>
      </c>
      <c r="Q180" s="7" t="n">
        <f aca="false">IF(K180&gt;=가정!$B$28,A180,"")</f>
        <v>176</v>
      </c>
      <c r="R180" s="7" t="str">
        <f aca="false">IF(MAX(0,I180)*(1-가정!$B$6)*'1억 상환'!$B$6&gt;='1억 상환'!$B$5,A180,"")</f>
        <v/>
      </c>
    </row>
    <row r="181" customFormat="false" ht="15" hidden="false" customHeight="false" outlineLevel="0" collapsed="false">
      <c r="A181" s="7" t="n">
        <v>177</v>
      </c>
      <c r="B181" s="7" t="n">
        <f aca="false">A181*가정!$B$10</f>
        <v>53100000</v>
      </c>
      <c r="C181" s="7" t="n">
        <f aca="false">가정!$B$30</f>
        <v>8600000</v>
      </c>
      <c r="D181" s="7" t="n">
        <f aca="false">ROUNDUP(MAX(0,A181-가정!$B$18)/가정!$B$19,0)</f>
        <v>6</v>
      </c>
      <c r="E181" s="7" t="n">
        <f aca="false">D181*가정!$B$20</f>
        <v>16800000</v>
      </c>
      <c r="F181" s="7" t="n">
        <f aca="false">A181*가정!$B$22+B181*가정!$B$23</f>
        <v>4248000</v>
      </c>
      <c r="G181" s="7" t="n">
        <f aca="false">B181*가정!$B$24</f>
        <v>0</v>
      </c>
      <c r="H181" s="7" t="n">
        <f aca="false">B181-C181-E181-F181-G181</f>
        <v>23452000</v>
      </c>
      <c r="I181" s="7" t="n">
        <f aca="false">H181-IF(가정!$B$7=1,가정!$B$5,0)</f>
        <v>23452000</v>
      </c>
      <c r="J181" s="7" t="n">
        <f aca="false">MAX(0,I181)*가정!$B$6</f>
        <v>21106800</v>
      </c>
      <c r="K181" s="7" t="n">
        <f aca="false">가정!$B$5+J181</f>
        <v>21106800</v>
      </c>
      <c r="L181" s="7" t="n">
        <f aca="false">H181-K181</f>
        <v>2345200</v>
      </c>
      <c r="M181" s="8" t="n">
        <f aca="false">IF(B181=0,0,K181/B181)</f>
        <v>0.397491525423729</v>
      </c>
      <c r="N181" s="7" t="n">
        <f aca="false">K181/가정!$B$8</f>
        <v>105534</v>
      </c>
      <c r="O181" s="7" t="n">
        <f aca="false">IF(I181&gt;0,A181,"")</f>
        <v>177</v>
      </c>
      <c r="P181" s="7" t="n">
        <f aca="false">IF(L181&gt;=0,A181,"")</f>
        <v>177</v>
      </c>
      <c r="Q181" s="7" t="n">
        <f aca="false">IF(K181&gt;=가정!$B$28,A181,"")</f>
        <v>177</v>
      </c>
      <c r="R181" s="7" t="str">
        <f aca="false">IF(MAX(0,I181)*(1-가정!$B$6)*'1억 상환'!$B$6&gt;='1억 상환'!$B$5,A181,"")</f>
        <v/>
      </c>
    </row>
    <row r="182" customFormat="false" ht="15" hidden="false" customHeight="false" outlineLevel="0" collapsed="false">
      <c r="A182" s="7" t="n">
        <v>178</v>
      </c>
      <c r="B182" s="7" t="n">
        <f aca="false">A182*가정!$B$10</f>
        <v>53400000</v>
      </c>
      <c r="C182" s="7" t="n">
        <f aca="false">가정!$B$30</f>
        <v>8600000</v>
      </c>
      <c r="D182" s="7" t="n">
        <f aca="false">ROUNDUP(MAX(0,A182-가정!$B$18)/가정!$B$19,0)</f>
        <v>6</v>
      </c>
      <c r="E182" s="7" t="n">
        <f aca="false">D182*가정!$B$20</f>
        <v>16800000</v>
      </c>
      <c r="F182" s="7" t="n">
        <f aca="false">A182*가정!$B$22+B182*가정!$B$23</f>
        <v>4272000</v>
      </c>
      <c r="G182" s="7" t="n">
        <f aca="false">B182*가정!$B$24</f>
        <v>0</v>
      </c>
      <c r="H182" s="7" t="n">
        <f aca="false">B182-C182-E182-F182-G182</f>
        <v>23728000</v>
      </c>
      <c r="I182" s="7" t="n">
        <f aca="false">H182-IF(가정!$B$7=1,가정!$B$5,0)</f>
        <v>23728000</v>
      </c>
      <c r="J182" s="7" t="n">
        <f aca="false">MAX(0,I182)*가정!$B$6</f>
        <v>21355200</v>
      </c>
      <c r="K182" s="7" t="n">
        <f aca="false">가정!$B$5+J182</f>
        <v>21355200</v>
      </c>
      <c r="L182" s="7" t="n">
        <f aca="false">H182-K182</f>
        <v>2372800</v>
      </c>
      <c r="M182" s="8" t="n">
        <f aca="false">IF(B182=0,0,K182/B182)</f>
        <v>0.399910112359551</v>
      </c>
      <c r="N182" s="7" t="n">
        <f aca="false">K182/가정!$B$8</f>
        <v>106776</v>
      </c>
      <c r="O182" s="7" t="n">
        <f aca="false">IF(I182&gt;0,A182,"")</f>
        <v>178</v>
      </c>
      <c r="P182" s="7" t="n">
        <f aca="false">IF(L182&gt;=0,A182,"")</f>
        <v>178</v>
      </c>
      <c r="Q182" s="7" t="n">
        <f aca="false">IF(K182&gt;=가정!$B$28,A182,"")</f>
        <v>178</v>
      </c>
      <c r="R182" s="7" t="str">
        <f aca="false">IF(MAX(0,I182)*(1-가정!$B$6)*'1억 상환'!$B$6&gt;='1억 상환'!$B$5,A182,"")</f>
        <v/>
      </c>
    </row>
    <row r="183" customFormat="false" ht="15" hidden="false" customHeight="false" outlineLevel="0" collapsed="false">
      <c r="A183" s="7" t="n">
        <v>179</v>
      </c>
      <c r="B183" s="7" t="n">
        <f aca="false">A183*가정!$B$10</f>
        <v>53700000</v>
      </c>
      <c r="C183" s="7" t="n">
        <f aca="false">가정!$B$30</f>
        <v>8600000</v>
      </c>
      <c r="D183" s="7" t="n">
        <f aca="false">ROUNDUP(MAX(0,A183-가정!$B$18)/가정!$B$19,0)</f>
        <v>6</v>
      </c>
      <c r="E183" s="7" t="n">
        <f aca="false">D183*가정!$B$20</f>
        <v>16800000</v>
      </c>
      <c r="F183" s="7" t="n">
        <f aca="false">A183*가정!$B$22+B183*가정!$B$23</f>
        <v>4296000</v>
      </c>
      <c r="G183" s="7" t="n">
        <f aca="false">B183*가정!$B$24</f>
        <v>0</v>
      </c>
      <c r="H183" s="7" t="n">
        <f aca="false">B183-C183-E183-F183-G183</f>
        <v>24004000</v>
      </c>
      <c r="I183" s="7" t="n">
        <f aca="false">H183-IF(가정!$B$7=1,가정!$B$5,0)</f>
        <v>24004000</v>
      </c>
      <c r="J183" s="7" t="n">
        <f aca="false">MAX(0,I183)*가정!$B$6</f>
        <v>21603600</v>
      </c>
      <c r="K183" s="7" t="n">
        <f aca="false">가정!$B$5+J183</f>
        <v>21603600</v>
      </c>
      <c r="L183" s="7" t="n">
        <f aca="false">H183-K183</f>
        <v>2400400</v>
      </c>
      <c r="M183" s="8" t="n">
        <f aca="false">IF(B183=0,0,K183/B183)</f>
        <v>0.402301675977654</v>
      </c>
      <c r="N183" s="7" t="n">
        <f aca="false">K183/가정!$B$8</f>
        <v>108018</v>
      </c>
      <c r="O183" s="7" t="n">
        <f aca="false">IF(I183&gt;0,A183,"")</f>
        <v>179</v>
      </c>
      <c r="P183" s="7" t="n">
        <f aca="false">IF(L183&gt;=0,A183,"")</f>
        <v>179</v>
      </c>
      <c r="Q183" s="7" t="n">
        <f aca="false">IF(K183&gt;=가정!$B$28,A183,"")</f>
        <v>179</v>
      </c>
      <c r="R183" s="7" t="str">
        <f aca="false">IF(MAX(0,I183)*(1-가정!$B$6)*'1억 상환'!$B$6&gt;='1억 상환'!$B$5,A183,"")</f>
        <v/>
      </c>
    </row>
    <row r="184" customFormat="false" ht="15" hidden="false" customHeight="false" outlineLevel="0" collapsed="false">
      <c r="A184" s="7" t="n">
        <v>180</v>
      </c>
      <c r="B184" s="7" t="n">
        <f aca="false">A184*가정!$B$10</f>
        <v>54000000</v>
      </c>
      <c r="C184" s="7" t="n">
        <f aca="false">가정!$B$30</f>
        <v>8600000</v>
      </c>
      <c r="D184" s="7" t="n">
        <f aca="false">ROUNDUP(MAX(0,A184-가정!$B$18)/가정!$B$19,0)</f>
        <v>6</v>
      </c>
      <c r="E184" s="7" t="n">
        <f aca="false">D184*가정!$B$20</f>
        <v>16800000</v>
      </c>
      <c r="F184" s="7" t="n">
        <f aca="false">A184*가정!$B$22+B184*가정!$B$23</f>
        <v>4320000</v>
      </c>
      <c r="G184" s="7" t="n">
        <f aca="false">B184*가정!$B$24</f>
        <v>0</v>
      </c>
      <c r="H184" s="7" t="n">
        <f aca="false">B184-C184-E184-F184-G184</f>
        <v>24280000</v>
      </c>
      <c r="I184" s="7" t="n">
        <f aca="false">H184-IF(가정!$B$7=1,가정!$B$5,0)</f>
        <v>24280000</v>
      </c>
      <c r="J184" s="7" t="n">
        <f aca="false">MAX(0,I184)*가정!$B$6</f>
        <v>21852000</v>
      </c>
      <c r="K184" s="7" t="n">
        <f aca="false">가정!$B$5+J184</f>
        <v>21852000</v>
      </c>
      <c r="L184" s="7" t="n">
        <f aca="false">H184-K184</f>
        <v>2428000</v>
      </c>
      <c r="M184" s="8" t="n">
        <f aca="false">IF(B184=0,0,K184/B184)</f>
        <v>0.404666666666667</v>
      </c>
      <c r="N184" s="7" t="n">
        <f aca="false">K184/가정!$B$8</f>
        <v>109260</v>
      </c>
      <c r="O184" s="7" t="n">
        <f aca="false">IF(I184&gt;0,A184,"")</f>
        <v>180</v>
      </c>
      <c r="P184" s="7" t="n">
        <f aca="false">IF(L184&gt;=0,A184,"")</f>
        <v>180</v>
      </c>
      <c r="Q184" s="7" t="n">
        <f aca="false">IF(K184&gt;=가정!$B$28,A184,"")</f>
        <v>180</v>
      </c>
      <c r="R184" s="7" t="str">
        <f aca="false">IF(MAX(0,I184)*(1-가정!$B$6)*'1억 상환'!$B$6&gt;='1억 상환'!$B$5,A184,"")</f>
        <v/>
      </c>
    </row>
    <row r="185" customFormat="false" ht="15" hidden="false" customHeight="false" outlineLevel="0" collapsed="false">
      <c r="A185" s="7" t="n">
        <v>181</v>
      </c>
      <c r="B185" s="7" t="n">
        <f aca="false">A185*가정!$B$10</f>
        <v>54300000</v>
      </c>
      <c r="C185" s="7" t="n">
        <f aca="false">가정!$B$30</f>
        <v>8600000</v>
      </c>
      <c r="D185" s="7" t="n">
        <f aca="false">ROUNDUP(MAX(0,A185-가정!$B$18)/가정!$B$19,0)</f>
        <v>6</v>
      </c>
      <c r="E185" s="7" t="n">
        <f aca="false">D185*가정!$B$20</f>
        <v>16800000</v>
      </c>
      <c r="F185" s="7" t="n">
        <f aca="false">A185*가정!$B$22+B185*가정!$B$23</f>
        <v>4344000</v>
      </c>
      <c r="G185" s="7" t="n">
        <f aca="false">B185*가정!$B$24</f>
        <v>0</v>
      </c>
      <c r="H185" s="7" t="n">
        <f aca="false">B185-C185-E185-F185-G185</f>
        <v>24556000</v>
      </c>
      <c r="I185" s="7" t="n">
        <f aca="false">H185-IF(가정!$B$7=1,가정!$B$5,0)</f>
        <v>24556000</v>
      </c>
      <c r="J185" s="7" t="n">
        <f aca="false">MAX(0,I185)*가정!$B$6</f>
        <v>22100400</v>
      </c>
      <c r="K185" s="7" t="n">
        <f aca="false">가정!$B$5+J185</f>
        <v>22100400</v>
      </c>
      <c r="L185" s="7" t="n">
        <f aca="false">H185-K185</f>
        <v>2455600</v>
      </c>
      <c r="M185" s="8" t="n">
        <f aca="false">IF(B185=0,0,K185/B185)</f>
        <v>0.407005524861878</v>
      </c>
      <c r="N185" s="7" t="n">
        <f aca="false">K185/가정!$B$8</f>
        <v>110502</v>
      </c>
      <c r="O185" s="7" t="n">
        <f aca="false">IF(I185&gt;0,A185,"")</f>
        <v>181</v>
      </c>
      <c r="P185" s="7" t="n">
        <f aca="false">IF(L185&gt;=0,A185,"")</f>
        <v>181</v>
      </c>
      <c r="Q185" s="7" t="n">
        <f aca="false">IF(K185&gt;=가정!$B$28,A185,"")</f>
        <v>181</v>
      </c>
      <c r="R185" s="7" t="str">
        <f aca="false">IF(MAX(0,I185)*(1-가정!$B$6)*'1억 상환'!$B$6&gt;='1억 상환'!$B$5,A185,"")</f>
        <v/>
      </c>
    </row>
    <row r="186" customFormat="false" ht="15" hidden="false" customHeight="false" outlineLevel="0" collapsed="false">
      <c r="A186" s="7" t="n">
        <v>182</v>
      </c>
      <c r="B186" s="7" t="n">
        <f aca="false">A186*가정!$B$10</f>
        <v>54600000</v>
      </c>
      <c r="C186" s="7" t="n">
        <f aca="false">가정!$B$30</f>
        <v>8600000</v>
      </c>
      <c r="D186" s="7" t="n">
        <f aca="false">ROUNDUP(MAX(0,A186-가정!$B$18)/가정!$B$19,0)</f>
        <v>6</v>
      </c>
      <c r="E186" s="7" t="n">
        <f aca="false">D186*가정!$B$20</f>
        <v>16800000</v>
      </c>
      <c r="F186" s="7" t="n">
        <f aca="false">A186*가정!$B$22+B186*가정!$B$23</f>
        <v>4368000</v>
      </c>
      <c r="G186" s="7" t="n">
        <f aca="false">B186*가정!$B$24</f>
        <v>0</v>
      </c>
      <c r="H186" s="7" t="n">
        <f aca="false">B186-C186-E186-F186-G186</f>
        <v>24832000</v>
      </c>
      <c r="I186" s="7" t="n">
        <f aca="false">H186-IF(가정!$B$7=1,가정!$B$5,0)</f>
        <v>24832000</v>
      </c>
      <c r="J186" s="7" t="n">
        <f aca="false">MAX(0,I186)*가정!$B$6</f>
        <v>22348800</v>
      </c>
      <c r="K186" s="7" t="n">
        <f aca="false">가정!$B$5+J186</f>
        <v>22348800</v>
      </c>
      <c r="L186" s="7" t="n">
        <f aca="false">H186-K186</f>
        <v>2483200</v>
      </c>
      <c r="M186" s="8" t="n">
        <f aca="false">IF(B186=0,0,K186/B186)</f>
        <v>0.409318681318681</v>
      </c>
      <c r="N186" s="7" t="n">
        <f aca="false">K186/가정!$B$8</f>
        <v>111744</v>
      </c>
      <c r="O186" s="7" t="n">
        <f aca="false">IF(I186&gt;0,A186,"")</f>
        <v>182</v>
      </c>
      <c r="P186" s="7" t="n">
        <f aca="false">IF(L186&gt;=0,A186,"")</f>
        <v>182</v>
      </c>
      <c r="Q186" s="7" t="n">
        <f aca="false">IF(K186&gt;=가정!$B$28,A186,"")</f>
        <v>182</v>
      </c>
      <c r="R186" s="7" t="str">
        <f aca="false">IF(MAX(0,I186)*(1-가정!$B$6)*'1억 상환'!$B$6&gt;='1억 상환'!$B$5,A186,"")</f>
        <v/>
      </c>
    </row>
    <row r="187" customFormat="false" ht="15" hidden="false" customHeight="false" outlineLevel="0" collapsed="false">
      <c r="A187" s="7" t="n">
        <v>183</v>
      </c>
      <c r="B187" s="7" t="n">
        <f aca="false">A187*가정!$B$10</f>
        <v>54900000</v>
      </c>
      <c r="C187" s="7" t="n">
        <f aca="false">가정!$B$30</f>
        <v>8600000</v>
      </c>
      <c r="D187" s="7" t="n">
        <f aca="false">ROUNDUP(MAX(0,A187-가정!$B$18)/가정!$B$19,0)</f>
        <v>6</v>
      </c>
      <c r="E187" s="7" t="n">
        <f aca="false">D187*가정!$B$20</f>
        <v>16800000</v>
      </c>
      <c r="F187" s="7" t="n">
        <f aca="false">A187*가정!$B$22+B187*가정!$B$23</f>
        <v>4392000</v>
      </c>
      <c r="G187" s="7" t="n">
        <f aca="false">B187*가정!$B$24</f>
        <v>0</v>
      </c>
      <c r="H187" s="7" t="n">
        <f aca="false">B187-C187-E187-F187-G187</f>
        <v>25108000</v>
      </c>
      <c r="I187" s="7" t="n">
        <f aca="false">H187-IF(가정!$B$7=1,가정!$B$5,0)</f>
        <v>25108000</v>
      </c>
      <c r="J187" s="7" t="n">
        <f aca="false">MAX(0,I187)*가정!$B$6</f>
        <v>22597200</v>
      </c>
      <c r="K187" s="7" t="n">
        <f aca="false">가정!$B$5+J187</f>
        <v>22597200</v>
      </c>
      <c r="L187" s="7" t="n">
        <f aca="false">H187-K187</f>
        <v>2510800</v>
      </c>
      <c r="M187" s="8" t="n">
        <f aca="false">IF(B187=0,0,K187/B187)</f>
        <v>0.411606557377049</v>
      </c>
      <c r="N187" s="7" t="n">
        <f aca="false">K187/가정!$B$8</f>
        <v>112986</v>
      </c>
      <c r="O187" s="7" t="n">
        <f aca="false">IF(I187&gt;0,A187,"")</f>
        <v>183</v>
      </c>
      <c r="P187" s="7" t="n">
        <f aca="false">IF(L187&gt;=0,A187,"")</f>
        <v>183</v>
      </c>
      <c r="Q187" s="7" t="n">
        <f aca="false">IF(K187&gt;=가정!$B$28,A187,"")</f>
        <v>183</v>
      </c>
      <c r="R187" s="7" t="str">
        <f aca="false">IF(MAX(0,I187)*(1-가정!$B$6)*'1억 상환'!$B$6&gt;='1억 상환'!$B$5,A187,"")</f>
        <v/>
      </c>
    </row>
    <row r="188" customFormat="false" ht="15" hidden="false" customHeight="false" outlineLevel="0" collapsed="false">
      <c r="A188" s="7" t="n">
        <v>184</v>
      </c>
      <c r="B188" s="7" t="n">
        <f aca="false">A188*가정!$B$10</f>
        <v>55200000</v>
      </c>
      <c r="C188" s="7" t="n">
        <f aca="false">가정!$B$30</f>
        <v>8600000</v>
      </c>
      <c r="D188" s="7" t="n">
        <f aca="false">ROUNDUP(MAX(0,A188-가정!$B$18)/가정!$B$19,0)</f>
        <v>6</v>
      </c>
      <c r="E188" s="7" t="n">
        <f aca="false">D188*가정!$B$20</f>
        <v>16800000</v>
      </c>
      <c r="F188" s="7" t="n">
        <f aca="false">A188*가정!$B$22+B188*가정!$B$23</f>
        <v>4416000</v>
      </c>
      <c r="G188" s="7" t="n">
        <f aca="false">B188*가정!$B$24</f>
        <v>0</v>
      </c>
      <c r="H188" s="7" t="n">
        <f aca="false">B188-C188-E188-F188-G188</f>
        <v>25384000</v>
      </c>
      <c r="I188" s="7" t="n">
        <f aca="false">H188-IF(가정!$B$7=1,가정!$B$5,0)</f>
        <v>25384000</v>
      </c>
      <c r="J188" s="7" t="n">
        <f aca="false">MAX(0,I188)*가정!$B$6</f>
        <v>22845600</v>
      </c>
      <c r="K188" s="7" t="n">
        <f aca="false">가정!$B$5+J188</f>
        <v>22845600</v>
      </c>
      <c r="L188" s="7" t="n">
        <f aca="false">H188-K188</f>
        <v>2538400</v>
      </c>
      <c r="M188" s="8" t="n">
        <f aca="false">IF(B188=0,0,K188/B188)</f>
        <v>0.413869565217391</v>
      </c>
      <c r="N188" s="7" t="n">
        <f aca="false">K188/가정!$B$8</f>
        <v>114228</v>
      </c>
      <c r="O188" s="7" t="n">
        <f aca="false">IF(I188&gt;0,A188,"")</f>
        <v>184</v>
      </c>
      <c r="P188" s="7" t="n">
        <f aca="false">IF(L188&gt;=0,A188,"")</f>
        <v>184</v>
      </c>
      <c r="Q188" s="7" t="n">
        <f aca="false">IF(K188&gt;=가정!$B$28,A188,"")</f>
        <v>184</v>
      </c>
      <c r="R188" s="7" t="str">
        <f aca="false">IF(MAX(0,I188)*(1-가정!$B$6)*'1억 상환'!$B$6&gt;='1억 상환'!$B$5,A188,"")</f>
        <v/>
      </c>
    </row>
    <row r="189" customFormat="false" ht="15" hidden="false" customHeight="false" outlineLevel="0" collapsed="false">
      <c r="A189" s="7" t="n">
        <v>185</v>
      </c>
      <c r="B189" s="7" t="n">
        <f aca="false">A189*가정!$B$10</f>
        <v>55500000</v>
      </c>
      <c r="C189" s="7" t="n">
        <f aca="false">가정!$B$30</f>
        <v>8600000</v>
      </c>
      <c r="D189" s="7" t="n">
        <f aca="false">ROUNDUP(MAX(0,A189-가정!$B$18)/가정!$B$19,0)</f>
        <v>6</v>
      </c>
      <c r="E189" s="7" t="n">
        <f aca="false">D189*가정!$B$20</f>
        <v>16800000</v>
      </c>
      <c r="F189" s="7" t="n">
        <f aca="false">A189*가정!$B$22+B189*가정!$B$23</f>
        <v>4440000</v>
      </c>
      <c r="G189" s="7" t="n">
        <f aca="false">B189*가정!$B$24</f>
        <v>0</v>
      </c>
      <c r="H189" s="7" t="n">
        <f aca="false">B189-C189-E189-F189-G189</f>
        <v>25660000</v>
      </c>
      <c r="I189" s="7" t="n">
        <f aca="false">H189-IF(가정!$B$7=1,가정!$B$5,0)</f>
        <v>25660000</v>
      </c>
      <c r="J189" s="7" t="n">
        <f aca="false">MAX(0,I189)*가정!$B$6</f>
        <v>23094000</v>
      </c>
      <c r="K189" s="7" t="n">
        <f aca="false">가정!$B$5+J189</f>
        <v>23094000</v>
      </c>
      <c r="L189" s="7" t="n">
        <f aca="false">H189-K189</f>
        <v>2566000</v>
      </c>
      <c r="M189" s="8" t="n">
        <f aca="false">IF(B189=0,0,K189/B189)</f>
        <v>0.416108108108108</v>
      </c>
      <c r="N189" s="7" t="n">
        <f aca="false">K189/가정!$B$8</f>
        <v>115470</v>
      </c>
      <c r="O189" s="7" t="n">
        <f aca="false">IF(I189&gt;0,A189,"")</f>
        <v>185</v>
      </c>
      <c r="P189" s="7" t="n">
        <f aca="false">IF(L189&gt;=0,A189,"")</f>
        <v>185</v>
      </c>
      <c r="Q189" s="7" t="n">
        <f aca="false">IF(K189&gt;=가정!$B$28,A189,"")</f>
        <v>185</v>
      </c>
      <c r="R189" s="7" t="str">
        <f aca="false">IF(MAX(0,I189)*(1-가정!$B$6)*'1억 상환'!$B$6&gt;='1억 상환'!$B$5,A189,"")</f>
        <v/>
      </c>
    </row>
    <row r="190" customFormat="false" ht="15" hidden="false" customHeight="false" outlineLevel="0" collapsed="false">
      <c r="A190" s="7" t="n">
        <v>186</v>
      </c>
      <c r="B190" s="7" t="n">
        <f aca="false">A190*가정!$B$10</f>
        <v>55800000</v>
      </c>
      <c r="C190" s="7" t="n">
        <f aca="false">가정!$B$30</f>
        <v>8600000</v>
      </c>
      <c r="D190" s="7" t="n">
        <f aca="false">ROUNDUP(MAX(0,A190-가정!$B$18)/가정!$B$19,0)</f>
        <v>6</v>
      </c>
      <c r="E190" s="7" t="n">
        <f aca="false">D190*가정!$B$20</f>
        <v>16800000</v>
      </c>
      <c r="F190" s="7" t="n">
        <f aca="false">A190*가정!$B$22+B190*가정!$B$23</f>
        <v>4464000</v>
      </c>
      <c r="G190" s="7" t="n">
        <f aca="false">B190*가정!$B$24</f>
        <v>0</v>
      </c>
      <c r="H190" s="7" t="n">
        <f aca="false">B190-C190-E190-F190-G190</f>
        <v>25936000</v>
      </c>
      <c r="I190" s="7" t="n">
        <f aca="false">H190-IF(가정!$B$7=1,가정!$B$5,0)</f>
        <v>25936000</v>
      </c>
      <c r="J190" s="7" t="n">
        <f aca="false">MAX(0,I190)*가정!$B$6</f>
        <v>23342400</v>
      </c>
      <c r="K190" s="7" t="n">
        <f aca="false">가정!$B$5+J190</f>
        <v>23342400</v>
      </c>
      <c r="L190" s="7" t="n">
        <f aca="false">H190-K190</f>
        <v>2593600</v>
      </c>
      <c r="M190" s="8" t="n">
        <f aca="false">IF(B190=0,0,K190/B190)</f>
        <v>0.418322580645161</v>
      </c>
      <c r="N190" s="7" t="n">
        <f aca="false">K190/가정!$B$8</f>
        <v>116712</v>
      </c>
      <c r="O190" s="7" t="n">
        <f aca="false">IF(I190&gt;0,A190,"")</f>
        <v>186</v>
      </c>
      <c r="P190" s="7" t="n">
        <f aca="false">IF(L190&gt;=0,A190,"")</f>
        <v>186</v>
      </c>
      <c r="Q190" s="7" t="n">
        <f aca="false">IF(K190&gt;=가정!$B$28,A190,"")</f>
        <v>186</v>
      </c>
      <c r="R190" s="7" t="str">
        <f aca="false">IF(MAX(0,I190)*(1-가정!$B$6)*'1억 상환'!$B$6&gt;='1억 상환'!$B$5,A190,"")</f>
        <v/>
      </c>
    </row>
    <row r="191" customFormat="false" ht="15" hidden="false" customHeight="false" outlineLevel="0" collapsed="false">
      <c r="A191" s="7" t="n">
        <v>187</v>
      </c>
      <c r="B191" s="7" t="n">
        <f aca="false">A191*가정!$B$10</f>
        <v>56100000</v>
      </c>
      <c r="C191" s="7" t="n">
        <f aca="false">가정!$B$30</f>
        <v>8600000</v>
      </c>
      <c r="D191" s="7" t="n">
        <f aca="false">ROUNDUP(MAX(0,A191-가정!$B$18)/가정!$B$19,0)</f>
        <v>6</v>
      </c>
      <c r="E191" s="7" t="n">
        <f aca="false">D191*가정!$B$20</f>
        <v>16800000</v>
      </c>
      <c r="F191" s="7" t="n">
        <f aca="false">A191*가정!$B$22+B191*가정!$B$23</f>
        <v>4488000</v>
      </c>
      <c r="G191" s="7" t="n">
        <f aca="false">B191*가정!$B$24</f>
        <v>0</v>
      </c>
      <c r="H191" s="7" t="n">
        <f aca="false">B191-C191-E191-F191-G191</f>
        <v>26212000</v>
      </c>
      <c r="I191" s="7" t="n">
        <f aca="false">H191-IF(가정!$B$7=1,가정!$B$5,0)</f>
        <v>26212000</v>
      </c>
      <c r="J191" s="7" t="n">
        <f aca="false">MAX(0,I191)*가정!$B$6</f>
        <v>23590800</v>
      </c>
      <c r="K191" s="7" t="n">
        <f aca="false">가정!$B$5+J191</f>
        <v>23590800</v>
      </c>
      <c r="L191" s="7" t="n">
        <f aca="false">H191-K191</f>
        <v>2621200</v>
      </c>
      <c r="M191" s="8" t="n">
        <f aca="false">IF(B191=0,0,K191/B191)</f>
        <v>0.420513368983957</v>
      </c>
      <c r="N191" s="7" t="n">
        <f aca="false">K191/가정!$B$8</f>
        <v>117954</v>
      </c>
      <c r="O191" s="7" t="n">
        <f aca="false">IF(I191&gt;0,A191,"")</f>
        <v>187</v>
      </c>
      <c r="P191" s="7" t="n">
        <f aca="false">IF(L191&gt;=0,A191,"")</f>
        <v>187</v>
      </c>
      <c r="Q191" s="7" t="n">
        <f aca="false">IF(K191&gt;=가정!$B$28,A191,"")</f>
        <v>187</v>
      </c>
      <c r="R191" s="7" t="str">
        <f aca="false">IF(MAX(0,I191)*(1-가정!$B$6)*'1억 상환'!$B$6&gt;='1억 상환'!$B$5,A191,"")</f>
        <v/>
      </c>
    </row>
    <row r="192" customFormat="false" ht="15" hidden="false" customHeight="false" outlineLevel="0" collapsed="false">
      <c r="A192" s="7" t="n">
        <v>188</v>
      </c>
      <c r="B192" s="7" t="n">
        <f aca="false">A192*가정!$B$10</f>
        <v>56400000</v>
      </c>
      <c r="C192" s="7" t="n">
        <f aca="false">가정!$B$30</f>
        <v>8600000</v>
      </c>
      <c r="D192" s="7" t="n">
        <f aca="false">ROUNDUP(MAX(0,A192-가정!$B$18)/가정!$B$19,0)</f>
        <v>6</v>
      </c>
      <c r="E192" s="7" t="n">
        <f aca="false">D192*가정!$B$20</f>
        <v>16800000</v>
      </c>
      <c r="F192" s="7" t="n">
        <f aca="false">A192*가정!$B$22+B192*가정!$B$23</f>
        <v>4512000</v>
      </c>
      <c r="G192" s="7" t="n">
        <f aca="false">B192*가정!$B$24</f>
        <v>0</v>
      </c>
      <c r="H192" s="7" t="n">
        <f aca="false">B192-C192-E192-F192-G192</f>
        <v>26488000</v>
      </c>
      <c r="I192" s="7" t="n">
        <f aca="false">H192-IF(가정!$B$7=1,가정!$B$5,0)</f>
        <v>26488000</v>
      </c>
      <c r="J192" s="7" t="n">
        <f aca="false">MAX(0,I192)*가정!$B$6</f>
        <v>23839200</v>
      </c>
      <c r="K192" s="7" t="n">
        <f aca="false">가정!$B$5+J192</f>
        <v>23839200</v>
      </c>
      <c r="L192" s="7" t="n">
        <f aca="false">H192-K192</f>
        <v>2648800</v>
      </c>
      <c r="M192" s="8" t="n">
        <f aca="false">IF(B192=0,0,K192/B192)</f>
        <v>0.42268085106383</v>
      </c>
      <c r="N192" s="7" t="n">
        <f aca="false">K192/가정!$B$8</f>
        <v>119196</v>
      </c>
      <c r="O192" s="7" t="n">
        <f aca="false">IF(I192&gt;0,A192,"")</f>
        <v>188</v>
      </c>
      <c r="P192" s="7" t="n">
        <f aca="false">IF(L192&gt;=0,A192,"")</f>
        <v>188</v>
      </c>
      <c r="Q192" s="7" t="n">
        <f aca="false">IF(K192&gt;=가정!$B$28,A192,"")</f>
        <v>188</v>
      </c>
      <c r="R192" s="7" t="str">
        <f aca="false">IF(MAX(0,I192)*(1-가정!$B$6)*'1억 상환'!$B$6&gt;='1억 상환'!$B$5,A192,"")</f>
        <v/>
      </c>
    </row>
    <row r="193" customFormat="false" ht="15" hidden="false" customHeight="false" outlineLevel="0" collapsed="false">
      <c r="A193" s="7" t="n">
        <v>189</v>
      </c>
      <c r="B193" s="7" t="n">
        <f aca="false">A193*가정!$B$10</f>
        <v>56700000</v>
      </c>
      <c r="C193" s="7" t="n">
        <f aca="false">가정!$B$30</f>
        <v>8600000</v>
      </c>
      <c r="D193" s="7" t="n">
        <f aca="false">ROUNDUP(MAX(0,A193-가정!$B$18)/가정!$B$19,0)</f>
        <v>6</v>
      </c>
      <c r="E193" s="7" t="n">
        <f aca="false">D193*가정!$B$20</f>
        <v>16800000</v>
      </c>
      <c r="F193" s="7" t="n">
        <f aca="false">A193*가정!$B$22+B193*가정!$B$23</f>
        <v>4536000</v>
      </c>
      <c r="G193" s="7" t="n">
        <f aca="false">B193*가정!$B$24</f>
        <v>0</v>
      </c>
      <c r="H193" s="7" t="n">
        <f aca="false">B193-C193-E193-F193-G193</f>
        <v>26764000</v>
      </c>
      <c r="I193" s="7" t="n">
        <f aca="false">H193-IF(가정!$B$7=1,가정!$B$5,0)</f>
        <v>26764000</v>
      </c>
      <c r="J193" s="7" t="n">
        <f aca="false">MAX(0,I193)*가정!$B$6</f>
        <v>24087600</v>
      </c>
      <c r="K193" s="7" t="n">
        <f aca="false">가정!$B$5+J193</f>
        <v>24087600</v>
      </c>
      <c r="L193" s="7" t="n">
        <f aca="false">H193-K193</f>
        <v>2676400</v>
      </c>
      <c r="M193" s="8" t="n">
        <f aca="false">IF(B193=0,0,K193/B193)</f>
        <v>0.424825396825397</v>
      </c>
      <c r="N193" s="7" t="n">
        <f aca="false">K193/가정!$B$8</f>
        <v>120438</v>
      </c>
      <c r="O193" s="7" t="n">
        <f aca="false">IF(I193&gt;0,A193,"")</f>
        <v>189</v>
      </c>
      <c r="P193" s="7" t="n">
        <f aca="false">IF(L193&gt;=0,A193,"")</f>
        <v>189</v>
      </c>
      <c r="Q193" s="7" t="n">
        <f aca="false">IF(K193&gt;=가정!$B$28,A193,"")</f>
        <v>189</v>
      </c>
      <c r="R193" s="7" t="str">
        <f aca="false">IF(MAX(0,I193)*(1-가정!$B$6)*'1억 상환'!$B$6&gt;='1억 상환'!$B$5,A193,"")</f>
        <v/>
      </c>
    </row>
    <row r="194" customFormat="false" ht="15" hidden="false" customHeight="false" outlineLevel="0" collapsed="false">
      <c r="A194" s="7" t="n">
        <v>190</v>
      </c>
      <c r="B194" s="7" t="n">
        <f aca="false">A194*가정!$B$10</f>
        <v>57000000</v>
      </c>
      <c r="C194" s="7" t="n">
        <f aca="false">가정!$B$30</f>
        <v>8600000</v>
      </c>
      <c r="D194" s="7" t="n">
        <f aca="false">ROUNDUP(MAX(0,A194-가정!$B$18)/가정!$B$19,0)</f>
        <v>6</v>
      </c>
      <c r="E194" s="7" t="n">
        <f aca="false">D194*가정!$B$20</f>
        <v>16800000</v>
      </c>
      <c r="F194" s="7" t="n">
        <f aca="false">A194*가정!$B$22+B194*가정!$B$23</f>
        <v>4560000</v>
      </c>
      <c r="G194" s="7" t="n">
        <f aca="false">B194*가정!$B$24</f>
        <v>0</v>
      </c>
      <c r="H194" s="7" t="n">
        <f aca="false">B194-C194-E194-F194-G194</f>
        <v>27040000</v>
      </c>
      <c r="I194" s="7" t="n">
        <f aca="false">H194-IF(가정!$B$7=1,가정!$B$5,0)</f>
        <v>27040000</v>
      </c>
      <c r="J194" s="7" t="n">
        <f aca="false">MAX(0,I194)*가정!$B$6</f>
        <v>24336000</v>
      </c>
      <c r="K194" s="7" t="n">
        <f aca="false">가정!$B$5+J194</f>
        <v>24336000</v>
      </c>
      <c r="L194" s="7" t="n">
        <f aca="false">H194-K194</f>
        <v>2704000</v>
      </c>
      <c r="M194" s="8" t="n">
        <f aca="false">IF(B194=0,0,K194/B194)</f>
        <v>0.426947368421053</v>
      </c>
      <c r="N194" s="7" t="n">
        <f aca="false">K194/가정!$B$8</f>
        <v>121680</v>
      </c>
      <c r="O194" s="7" t="n">
        <f aca="false">IF(I194&gt;0,A194,"")</f>
        <v>190</v>
      </c>
      <c r="P194" s="7" t="n">
        <f aca="false">IF(L194&gt;=0,A194,"")</f>
        <v>190</v>
      </c>
      <c r="Q194" s="7" t="n">
        <f aca="false">IF(K194&gt;=가정!$B$28,A194,"")</f>
        <v>190</v>
      </c>
      <c r="R194" s="7" t="str">
        <f aca="false">IF(MAX(0,I194)*(1-가정!$B$6)*'1억 상환'!$B$6&gt;='1억 상환'!$B$5,A194,"")</f>
        <v/>
      </c>
    </row>
    <row r="195" customFormat="false" ht="15" hidden="false" customHeight="false" outlineLevel="0" collapsed="false">
      <c r="A195" s="7" t="n">
        <v>191</v>
      </c>
      <c r="B195" s="7" t="n">
        <f aca="false">A195*가정!$B$10</f>
        <v>57300000</v>
      </c>
      <c r="C195" s="7" t="n">
        <f aca="false">가정!$B$30</f>
        <v>8600000</v>
      </c>
      <c r="D195" s="7" t="n">
        <f aca="false">ROUNDUP(MAX(0,A195-가정!$B$18)/가정!$B$19,0)</f>
        <v>6</v>
      </c>
      <c r="E195" s="7" t="n">
        <f aca="false">D195*가정!$B$20</f>
        <v>16800000</v>
      </c>
      <c r="F195" s="7" t="n">
        <f aca="false">A195*가정!$B$22+B195*가정!$B$23</f>
        <v>4584000</v>
      </c>
      <c r="G195" s="7" t="n">
        <f aca="false">B195*가정!$B$24</f>
        <v>0</v>
      </c>
      <c r="H195" s="7" t="n">
        <f aca="false">B195-C195-E195-F195-G195</f>
        <v>27316000</v>
      </c>
      <c r="I195" s="7" t="n">
        <f aca="false">H195-IF(가정!$B$7=1,가정!$B$5,0)</f>
        <v>27316000</v>
      </c>
      <c r="J195" s="7" t="n">
        <f aca="false">MAX(0,I195)*가정!$B$6</f>
        <v>24584400</v>
      </c>
      <c r="K195" s="7" t="n">
        <f aca="false">가정!$B$5+J195</f>
        <v>24584400</v>
      </c>
      <c r="L195" s="7" t="n">
        <f aca="false">H195-K195</f>
        <v>2731600</v>
      </c>
      <c r="M195" s="8" t="n">
        <f aca="false">IF(B195=0,0,K195/B195)</f>
        <v>0.429047120418848</v>
      </c>
      <c r="N195" s="7" t="n">
        <f aca="false">K195/가정!$B$8</f>
        <v>122922</v>
      </c>
      <c r="O195" s="7" t="n">
        <f aca="false">IF(I195&gt;0,A195,"")</f>
        <v>191</v>
      </c>
      <c r="P195" s="7" t="n">
        <f aca="false">IF(L195&gt;=0,A195,"")</f>
        <v>191</v>
      </c>
      <c r="Q195" s="7" t="n">
        <f aca="false">IF(K195&gt;=가정!$B$28,A195,"")</f>
        <v>191</v>
      </c>
      <c r="R195" s="7" t="str">
        <f aca="false">IF(MAX(0,I195)*(1-가정!$B$6)*'1억 상환'!$B$6&gt;='1억 상환'!$B$5,A195,"")</f>
        <v/>
      </c>
    </row>
    <row r="196" customFormat="false" ht="15" hidden="false" customHeight="false" outlineLevel="0" collapsed="false">
      <c r="A196" s="7" t="n">
        <v>192</v>
      </c>
      <c r="B196" s="7" t="n">
        <f aca="false">A196*가정!$B$10</f>
        <v>57600000</v>
      </c>
      <c r="C196" s="7" t="n">
        <f aca="false">가정!$B$30</f>
        <v>8600000</v>
      </c>
      <c r="D196" s="7" t="n">
        <f aca="false">ROUNDUP(MAX(0,A196-가정!$B$18)/가정!$B$19,0)</f>
        <v>6</v>
      </c>
      <c r="E196" s="7" t="n">
        <f aca="false">D196*가정!$B$20</f>
        <v>16800000</v>
      </c>
      <c r="F196" s="7" t="n">
        <f aca="false">A196*가정!$B$22+B196*가정!$B$23</f>
        <v>4608000</v>
      </c>
      <c r="G196" s="7" t="n">
        <f aca="false">B196*가정!$B$24</f>
        <v>0</v>
      </c>
      <c r="H196" s="7" t="n">
        <f aca="false">B196-C196-E196-F196-G196</f>
        <v>27592000</v>
      </c>
      <c r="I196" s="7" t="n">
        <f aca="false">H196-IF(가정!$B$7=1,가정!$B$5,0)</f>
        <v>27592000</v>
      </c>
      <c r="J196" s="7" t="n">
        <f aca="false">MAX(0,I196)*가정!$B$6</f>
        <v>24832800</v>
      </c>
      <c r="K196" s="7" t="n">
        <f aca="false">가정!$B$5+J196</f>
        <v>24832800</v>
      </c>
      <c r="L196" s="7" t="n">
        <f aca="false">H196-K196</f>
        <v>2759200</v>
      </c>
      <c r="M196" s="8" t="n">
        <f aca="false">IF(B196=0,0,K196/B196)</f>
        <v>0.431125</v>
      </c>
      <c r="N196" s="7" t="n">
        <f aca="false">K196/가정!$B$8</f>
        <v>124164</v>
      </c>
      <c r="O196" s="7" t="n">
        <f aca="false">IF(I196&gt;0,A196,"")</f>
        <v>192</v>
      </c>
      <c r="P196" s="7" t="n">
        <f aca="false">IF(L196&gt;=0,A196,"")</f>
        <v>192</v>
      </c>
      <c r="Q196" s="7" t="n">
        <f aca="false">IF(K196&gt;=가정!$B$28,A196,"")</f>
        <v>192</v>
      </c>
      <c r="R196" s="7" t="str">
        <f aca="false">IF(MAX(0,I196)*(1-가정!$B$6)*'1억 상환'!$B$6&gt;='1억 상환'!$B$5,A196,"")</f>
        <v/>
      </c>
    </row>
    <row r="197" customFormat="false" ht="15" hidden="false" customHeight="false" outlineLevel="0" collapsed="false">
      <c r="A197" s="7" t="n">
        <v>193</v>
      </c>
      <c r="B197" s="7" t="n">
        <f aca="false">A197*가정!$B$10</f>
        <v>57900000</v>
      </c>
      <c r="C197" s="7" t="n">
        <f aca="false">가정!$B$30</f>
        <v>8600000</v>
      </c>
      <c r="D197" s="7" t="n">
        <f aca="false">ROUNDUP(MAX(0,A197-가정!$B$18)/가정!$B$19,0)</f>
        <v>6</v>
      </c>
      <c r="E197" s="7" t="n">
        <f aca="false">D197*가정!$B$20</f>
        <v>16800000</v>
      </c>
      <c r="F197" s="7" t="n">
        <f aca="false">A197*가정!$B$22+B197*가정!$B$23</f>
        <v>4632000</v>
      </c>
      <c r="G197" s="7" t="n">
        <f aca="false">B197*가정!$B$24</f>
        <v>0</v>
      </c>
      <c r="H197" s="7" t="n">
        <f aca="false">B197-C197-E197-F197-G197</f>
        <v>27868000</v>
      </c>
      <c r="I197" s="7" t="n">
        <f aca="false">H197-IF(가정!$B$7=1,가정!$B$5,0)</f>
        <v>27868000</v>
      </c>
      <c r="J197" s="7" t="n">
        <f aca="false">MAX(0,I197)*가정!$B$6</f>
        <v>25081200</v>
      </c>
      <c r="K197" s="7" t="n">
        <f aca="false">가정!$B$5+J197</f>
        <v>25081200</v>
      </c>
      <c r="L197" s="7" t="n">
        <f aca="false">H197-K197</f>
        <v>2786800</v>
      </c>
      <c r="M197" s="8" t="n">
        <f aca="false">IF(B197=0,0,K197/B197)</f>
        <v>0.433181347150259</v>
      </c>
      <c r="N197" s="7" t="n">
        <f aca="false">K197/가정!$B$8</f>
        <v>125406</v>
      </c>
      <c r="O197" s="7" t="n">
        <f aca="false">IF(I197&gt;0,A197,"")</f>
        <v>193</v>
      </c>
      <c r="P197" s="7" t="n">
        <f aca="false">IF(L197&gt;=0,A197,"")</f>
        <v>193</v>
      </c>
      <c r="Q197" s="7" t="n">
        <f aca="false">IF(K197&gt;=가정!$B$28,A197,"")</f>
        <v>193</v>
      </c>
      <c r="R197" s="7" t="str">
        <f aca="false">IF(MAX(0,I197)*(1-가정!$B$6)*'1억 상환'!$B$6&gt;='1억 상환'!$B$5,A197,"")</f>
        <v/>
      </c>
    </row>
    <row r="198" customFormat="false" ht="15" hidden="false" customHeight="false" outlineLevel="0" collapsed="false">
      <c r="A198" s="7" t="n">
        <v>194</v>
      </c>
      <c r="B198" s="7" t="n">
        <f aca="false">A198*가정!$B$10</f>
        <v>58200000</v>
      </c>
      <c r="C198" s="7" t="n">
        <f aca="false">가정!$B$30</f>
        <v>8600000</v>
      </c>
      <c r="D198" s="7" t="n">
        <f aca="false">ROUNDUP(MAX(0,A198-가정!$B$18)/가정!$B$19,0)</f>
        <v>6</v>
      </c>
      <c r="E198" s="7" t="n">
        <f aca="false">D198*가정!$B$20</f>
        <v>16800000</v>
      </c>
      <c r="F198" s="7" t="n">
        <f aca="false">A198*가정!$B$22+B198*가정!$B$23</f>
        <v>4656000</v>
      </c>
      <c r="G198" s="7" t="n">
        <f aca="false">B198*가정!$B$24</f>
        <v>0</v>
      </c>
      <c r="H198" s="7" t="n">
        <f aca="false">B198-C198-E198-F198-G198</f>
        <v>28144000</v>
      </c>
      <c r="I198" s="7" t="n">
        <f aca="false">H198-IF(가정!$B$7=1,가정!$B$5,0)</f>
        <v>28144000</v>
      </c>
      <c r="J198" s="7" t="n">
        <f aca="false">MAX(0,I198)*가정!$B$6</f>
        <v>25329600</v>
      </c>
      <c r="K198" s="7" t="n">
        <f aca="false">가정!$B$5+J198</f>
        <v>25329600</v>
      </c>
      <c r="L198" s="7" t="n">
        <f aca="false">H198-K198</f>
        <v>2814400</v>
      </c>
      <c r="M198" s="8" t="n">
        <f aca="false">IF(B198=0,0,K198/B198)</f>
        <v>0.435216494845361</v>
      </c>
      <c r="N198" s="7" t="n">
        <f aca="false">K198/가정!$B$8</f>
        <v>126648</v>
      </c>
      <c r="O198" s="7" t="n">
        <f aca="false">IF(I198&gt;0,A198,"")</f>
        <v>194</v>
      </c>
      <c r="P198" s="7" t="n">
        <f aca="false">IF(L198&gt;=0,A198,"")</f>
        <v>194</v>
      </c>
      <c r="Q198" s="7" t="n">
        <f aca="false">IF(K198&gt;=가정!$B$28,A198,"")</f>
        <v>194</v>
      </c>
      <c r="R198" s="7" t="str">
        <f aca="false">IF(MAX(0,I198)*(1-가정!$B$6)*'1억 상환'!$B$6&gt;='1억 상환'!$B$5,A198,"")</f>
        <v/>
      </c>
    </row>
    <row r="199" customFormat="false" ht="15" hidden="false" customHeight="false" outlineLevel="0" collapsed="false">
      <c r="A199" s="7" t="n">
        <v>195</v>
      </c>
      <c r="B199" s="7" t="n">
        <f aca="false">A199*가정!$B$10</f>
        <v>58500000</v>
      </c>
      <c r="C199" s="7" t="n">
        <f aca="false">가정!$B$30</f>
        <v>8600000</v>
      </c>
      <c r="D199" s="7" t="n">
        <f aca="false">ROUNDUP(MAX(0,A199-가정!$B$18)/가정!$B$19,0)</f>
        <v>6</v>
      </c>
      <c r="E199" s="7" t="n">
        <f aca="false">D199*가정!$B$20</f>
        <v>16800000</v>
      </c>
      <c r="F199" s="7" t="n">
        <f aca="false">A199*가정!$B$22+B199*가정!$B$23</f>
        <v>4680000</v>
      </c>
      <c r="G199" s="7" t="n">
        <f aca="false">B199*가정!$B$24</f>
        <v>0</v>
      </c>
      <c r="H199" s="7" t="n">
        <f aca="false">B199-C199-E199-F199-G199</f>
        <v>28420000</v>
      </c>
      <c r="I199" s="7" t="n">
        <f aca="false">H199-IF(가정!$B$7=1,가정!$B$5,0)</f>
        <v>28420000</v>
      </c>
      <c r="J199" s="7" t="n">
        <f aca="false">MAX(0,I199)*가정!$B$6</f>
        <v>25578000</v>
      </c>
      <c r="K199" s="7" t="n">
        <f aca="false">가정!$B$5+J199</f>
        <v>25578000</v>
      </c>
      <c r="L199" s="7" t="n">
        <f aca="false">H199-K199</f>
        <v>2842000</v>
      </c>
      <c r="M199" s="8" t="n">
        <f aca="false">IF(B199=0,0,K199/B199)</f>
        <v>0.437230769230769</v>
      </c>
      <c r="N199" s="7" t="n">
        <f aca="false">K199/가정!$B$8</f>
        <v>127890</v>
      </c>
      <c r="O199" s="7" t="n">
        <f aca="false">IF(I199&gt;0,A199,"")</f>
        <v>195</v>
      </c>
      <c r="P199" s="7" t="n">
        <f aca="false">IF(L199&gt;=0,A199,"")</f>
        <v>195</v>
      </c>
      <c r="Q199" s="7" t="n">
        <f aca="false">IF(K199&gt;=가정!$B$28,A199,"")</f>
        <v>195</v>
      </c>
      <c r="R199" s="7" t="str">
        <f aca="false">IF(MAX(0,I199)*(1-가정!$B$6)*'1억 상환'!$B$6&gt;='1억 상환'!$B$5,A199,"")</f>
        <v/>
      </c>
    </row>
    <row r="200" customFormat="false" ht="15" hidden="false" customHeight="false" outlineLevel="0" collapsed="false">
      <c r="A200" s="7" t="n">
        <v>196</v>
      </c>
      <c r="B200" s="7" t="n">
        <f aca="false">A200*가정!$B$10</f>
        <v>58800000</v>
      </c>
      <c r="C200" s="7" t="n">
        <f aca="false">가정!$B$30</f>
        <v>8600000</v>
      </c>
      <c r="D200" s="7" t="n">
        <f aca="false">ROUNDUP(MAX(0,A200-가정!$B$18)/가정!$B$19,0)</f>
        <v>6</v>
      </c>
      <c r="E200" s="7" t="n">
        <f aca="false">D200*가정!$B$20</f>
        <v>16800000</v>
      </c>
      <c r="F200" s="7" t="n">
        <f aca="false">A200*가정!$B$22+B200*가정!$B$23</f>
        <v>4704000</v>
      </c>
      <c r="G200" s="7" t="n">
        <f aca="false">B200*가정!$B$24</f>
        <v>0</v>
      </c>
      <c r="H200" s="7" t="n">
        <f aca="false">B200-C200-E200-F200-G200</f>
        <v>28696000</v>
      </c>
      <c r="I200" s="7" t="n">
        <f aca="false">H200-IF(가정!$B$7=1,가정!$B$5,0)</f>
        <v>28696000</v>
      </c>
      <c r="J200" s="7" t="n">
        <f aca="false">MAX(0,I200)*가정!$B$6</f>
        <v>25826400</v>
      </c>
      <c r="K200" s="7" t="n">
        <f aca="false">가정!$B$5+J200</f>
        <v>25826400</v>
      </c>
      <c r="L200" s="7" t="n">
        <f aca="false">H200-K200</f>
        <v>2869600</v>
      </c>
      <c r="M200" s="8" t="n">
        <f aca="false">IF(B200=0,0,K200/B200)</f>
        <v>0.439224489795918</v>
      </c>
      <c r="N200" s="7" t="n">
        <f aca="false">K200/가정!$B$8</f>
        <v>129132</v>
      </c>
      <c r="O200" s="7" t="n">
        <f aca="false">IF(I200&gt;0,A200,"")</f>
        <v>196</v>
      </c>
      <c r="P200" s="7" t="n">
        <f aca="false">IF(L200&gt;=0,A200,"")</f>
        <v>196</v>
      </c>
      <c r="Q200" s="7" t="n">
        <f aca="false">IF(K200&gt;=가정!$B$28,A200,"")</f>
        <v>196</v>
      </c>
      <c r="R200" s="7" t="str">
        <f aca="false">IF(MAX(0,I200)*(1-가정!$B$6)*'1억 상환'!$B$6&gt;='1억 상환'!$B$5,A200,"")</f>
        <v/>
      </c>
    </row>
    <row r="201" customFormat="false" ht="15" hidden="false" customHeight="false" outlineLevel="0" collapsed="false">
      <c r="A201" s="7" t="n">
        <v>197</v>
      </c>
      <c r="B201" s="7" t="n">
        <f aca="false">A201*가정!$B$10</f>
        <v>59100000</v>
      </c>
      <c r="C201" s="7" t="n">
        <f aca="false">가정!$B$30</f>
        <v>8600000</v>
      </c>
      <c r="D201" s="7" t="n">
        <f aca="false">ROUNDUP(MAX(0,A201-가정!$B$18)/가정!$B$19,0)</f>
        <v>6</v>
      </c>
      <c r="E201" s="7" t="n">
        <f aca="false">D201*가정!$B$20</f>
        <v>16800000</v>
      </c>
      <c r="F201" s="7" t="n">
        <f aca="false">A201*가정!$B$22+B201*가정!$B$23</f>
        <v>4728000</v>
      </c>
      <c r="G201" s="7" t="n">
        <f aca="false">B201*가정!$B$24</f>
        <v>0</v>
      </c>
      <c r="H201" s="7" t="n">
        <f aca="false">B201-C201-E201-F201-G201</f>
        <v>28972000</v>
      </c>
      <c r="I201" s="7" t="n">
        <f aca="false">H201-IF(가정!$B$7=1,가정!$B$5,0)</f>
        <v>28972000</v>
      </c>
      <c r="J201" s="7" t="n">
        <f aca="false">MAX(0,I201)*가정!$B$6</f>
        <v>26074800</v>
      </c>
      <c r="K201" s="7" t="n">
        <f aca="false">가정!$B$5+J201</f>
        <v>26074800</v>
      </c>
      <c r="L201" s="7" t="n">
        <f aca="false">H201-K201</f>
        <v>2897200</v>
      </c>
      <c r="M201" s="8" t="n">
        <f aca="false">IF(B201=0,0,K201/B201)</f>
        <v>0.441197969543147</v>
      </c>
      <c r="N201" s="7" t="n">
        <f aca="false">K201/가정!$B$8</f>
        <v>130374</v>
      </c>
      <c r="O201" s="7" t="n">
        <f aca="false">IF(I201&gt;0,A201,"")</f>
        <v>197</v>
      </c>
      <c r="P201" s="7" t="n">
        <f aca="false">IF(L201&gt;=0,A201,"")</f>
        <v>197</v>
      </c>
      <c r="Q201" s="7" t="n">
        <f aca="false">IF(K201&gt;=가정!$B$28,A201,"")</f>
        <v>197</v>
      </c>
      <c r="R201" s="7" t="str">
        <f aca="false">IF(MAX(0,I201)*(1-가정!$B$6)*'1억 상환'!$B$6&gt;='1억 상환'!$B$5,A201,"")</f>
        <v/>
      </c>
    </row>
    <row r="202" customFormat="false" ht="15" hidden="false" customHeight="false" outlineLevel="0" collapsed="false">
      <c r="A202" s="7" t="n">
        <v>198</v>
      </c>
      <c r="B202" s="7" t="n">
        <f aca="false">A202*가정!$B$10</f>
        <v>59400000</v>
      </c>
      <c r="C202" s="7" t="n">
        <f aca="false">가정!$B$30</f>
        <v>8600000</v>
      </c>
      <c r="D202" s="7" t="n">
        <f aca="false">ROUNDUP(MAX(0,A202-가정!$B$18)/가정!$B$19,0)</f>
        <v>6</v>
      </c>
      <c r="E202" s="7" t="n">
        <f aca="false">D202*가정!$B$20</f>
        <v>16800000</v>
      </c>
      <c r="F202" s="7" t="n">
        <f aca="false">A202*가정!$B$22+B202*가정!$B$23</f>
        <v>4752000</v>
      </c>
      <c r="G202" s="7" t="n">
        <f aca="false">B202*가정!$B$24</f>
        <v>0</v>
      </c>
      <c r="H202" s="7" t="n">
        <f aca="false">B202-C202-E202-F202-G202</f>
        <v>29248000</v>
      </c>
      <c r="I202" s="7" t="n">
        <f aca="false">H202-IF(가정!$B$7=1,가정!$B$5,0)</f>
        <v>29248000</v>
      </c>
      <c r="J202" s="7" t="n">
        <f aca="false">MAX(0,I202)*가정!$B$6</f>
        <v>26323200</v>
      </c>
      <c r="K202" s="7" t="n">
        <f aca="false">가정!$B$5+J202</f>
        <v>26323200</v>
      </c>
      <c r="L202" s="7" t="n">
        <f aca="false">H202-K202</f>
        <v>2924800</v>
      </c>
      <c r="M202" s="8" t="n">
        <f aca="false">IF(B202=0,0,K202/B202)</f>
        <v>0.443151515151515</v>
      </c>
      <c r="N202" s="7" t="n">
        <f aca="false">K202/가정!$B$8</f>
        <v>131616</v>
      </c>
      <c r="O202" s="7" t="n">
        <f aca="false">IF(I202&gt;0,A202,"")</f>
        <v>198</v>
      </c>
      <c r="P202" s="7" t="n">
        <f aca="false">IF(L202&gt;=0,A202,"")</f>
        <v>198</v>
      </c>
      <c r="Q202" s="7" t="n">
        <f aca="false">IF(K202&gt;=가정!$B$28,A202,"")</f>
        <v>198</v>
      </c>
      <c r="R202" s="7" t="str">
        <f aca="false">IF(MAX(0,I202)*(1-가정!$B$6)*'1억 상환'!$B$6&gt;='1억 상환'!$B$5,A202,"")</f>
        <v/>
      </c>
    </row>
    <row r="203" customFormat="false" ht="15" hidden="false" customHeight="false" outlineLevel="0" collapsed="false">
      <c r="A203" s="7" t="n">
        <v>199</v>
      </c>
      <c r="B203" s="7" t="n">
        <f aca="false">A203*가정!$B$10</f>
        <v>59700000</v>
      </c>
      <c r="C203" s="7" t="n">
        <f aca="false">가정!$B$30</f>
        <v>8600000</v>
      </c>
      <c r="D203" s="7" t="n">
        <f aca="false">ROUNDUP(MAX(0,A203-가정!$B$18)/가정!$B$19,0)</f>
        <v>6</v>
      </c>
      <c r="E203" s="7" t="n">
        <f aca="false">D203*가정!$B$20</f>
        <v>16800000</v>
      </c>
      <c r="F203" s="7" t="n">
        <f aca="false">A203*가정!$B$22+B203*가정!$B$23</f>
        <v>4776000</v>
      </c>
      <c r="G203" s="7" t="n">
        <f aca="false">B203*가정!$B$24</f>
        <v>0</v>
      </c>
      <c r="H203" s="7" t="n">
        <f aca="false">B203-C203-E203-F203-G203</f>
        <v>29524000</v>
      </c>
      <c r="I203" s="7" t="n">
        <f aca="false">H203-IF(가정!$B$7=1,가정!$B$5,0)</f>
        <v>29524000</v>
      </c>
      <c r="J203" s="7" t="n">
        <f aca="false">MAX(0,I203)*가정!$B$6</f>
        <v>26571600</v>
      </c>
      <c r="K203" s="7" t="n">
        <f aca="false">가정!$B$5+J203</f>
        <v>26571600</v>
      </c>
      <c r="L203" s="7" t="n">
        <f aca="false">H203-K203</f>
        <v>2952400</v>
      </c>
      <c r="M203" s="8" t="n">
        <f aca="false">IF(B203=0,0,K203/B203)</f>
        <v>0.445085427135678</v>
      </c>
      <c r="N203" s="7" t="n">
        <f aca="false">K203/가정!$B$8</f>
        <v>132858</v>
      </c>
      <c r="O203" s="7" t="n">
        <f aca="false">IF(I203&gt;0,A203,"")</f>
        <v>199</v>
      </c>
      <c r="P203" s="7" t="n">
        <f aca="false">IF(L203&gt;=0,A203,"")</f>
        <v>199</v>
      </c>
      <c r="Q203" s="7" t="n">
        <f aca="false">IF(K203&gt;=가정!$B$28,A203,"")</f>
        <v>199</v>
      </c>
      <c r="R203" s="7" t="str">
        <f aca="false">IF(MAX(0,I203)*(1-가정!$B$6)*'1억 상환'!$B$6&gt;='1억 상환'!$B$5,A203,"")</f>
        <v/>
      </c>
    </row>
    <row r="204" customFormat="false" ht="15" hidden="false" customHeight="false" outlineLevel="0" collapsed="false">
      <c r="A204" s="7" t="n">
        <v>200</v>
      </c>
      <c r="B204" s="7" t="n">
        <f aca="false">A204*가정!$B$10</f>
        <v>60000000</v>
      </c>
      <c r="C204" s="7" t="n">
        <f aca="false">가정!$B$30</f>
        <v>8600000</v>
      </c>
      <c r="D204" s="7" t="n">
        <f aca="false">ROUNDUP(MAX(0,A204-가정!$B$18)/가정!$B$19,0)</f>
        <v>6</v>
      </c>
      <c r="E204" s="7" t="n">
        <f aca="false">D204*가정!$B$20</f>
        <v>16800000</v>
      </c>
      <c r="F204" s="7" t="n">
        <f aca="false">A204*가정!$B$22+B204*가정!$B$23</f>
        <v>4800000</v>
      </c>
      <c r="G204" s="7" t="n">
        <f aca="false">B204*가정!$B$24</f>
        <v>0</v>
      </c>
      <c r="H204" s="7" t="n">
        <f aca="false">B204-C204-E204-F204-G204</f>
        <v>29800000</v>
      </c>
      <c r="I204" s="7" t="n">
        <f aca="false">H204-IF(가정!$B$7=1,가정!$B$5,0)</f>
        <v>29800000</v>
      </c>
      <c r="J204" s="7" t="n">
        <f aca="false">MAX(0,I204)*가정!$B$6</f>
        <v>26820000</v>
      </c>
      <c r="K204" s="7" t="n">
        <f aca="false">가정!$B$5+J204</f>
        <v>26820000</v>
      </c>
      <c r="L204" s="7" t="n">
        <f aca="false">H204-K204</f>
        <v>2980000</v>
      </c>
      <c r="M204" s="8" t="n">
        <f aca="false">IF(B204=0,0,K204/B204)</f>
        <v>0.447</v>
      </c>
      <c r="N204" s="7" t="n">
        <f aca="false">K204/가정!$B$8</f>
        <v>134100</v>
      </c>
      <c r="O204" s="7" t="n">
        <f aca="false">IF(I204&gt;0,A204,"")</f>
        <v>200</v>
      </c>
      <c r="P204" s="7" t="n">
        <f aca="false">IF(L204&gt;=0,A204,"")</f>
        <v>200</v>
      </c>
      <c r="Q204" s="7" t="n">
        <f aca="false">IF(K204&gt;=가정!$B$28,A204,"")</f>
        <v>200</v>
      </c>
      <c r="R204" s="7" t="str">
        <f aca="false">IF(MAX(0,I204)*(1-가정!$B$6)*'1억 상환'!$B$6&gt;='1억 상환'!$B$5,A204,"")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3"/>
  </cols>
  <sheetData>
    <row r="1" customFormat="false" ht="19.4" hidden="false" customHeight="false" outlineLevel="0" collapsed="false">
      <c r="A1" s="1" t="s">
        <v>119</v>
      </c>
    </row>
    <row r="2" customFormat="false" ht="15" hidden="false" customHeight="false" outlineLevel="0" collapsed="false">
      <c r="A2" s="13" t="s">
        <v>120</v>
      </c>
    </row>
    <row r="4" customFormat="false" ht="15" hidden="false" customHeight="false" outlineLevel="0" collapsed="false">
      <c r="A4" s="24" t="s">
        <v>121</v>
      </c>
      <c r="B4" s="25" t="n">
        <v>10</v>
      </c>
      <c r="C4" s="25" t="n">
        <v>20</v>
      </c>
      <c r="D4" s="25" t="n">
        <v>30</v>
      </c>
      <c r="E4" s="25" t="n">
        <v>40</v>
      </c>
      <c r="F4" s="25" t="n">
        <v>50</v>
      </c>
      <c r="G4" s="25" t="n">
        <v>60</v>
      </c>
      <c r="H4" s="25" t="n">
        <v>70</v>
      </c>
      <c r="I4" s="25" t="n">
        <v>80</v>
      </c>
      <c r="J4" s="25" t="n">
        <v>90</v>
      </c>
      <c r="K4" s="25" t="n">
        <v>100</v>
      </c>
      <c r="L4" s="25" t="n">
        <v>120</v>
      </c>
      <c r="M4" s="25" t="n">
        <v>150</v>
      </c>
    </row>
    <row r="5" customFormat="false" ht="15" hidden="false" customHeight="false" outlineLevel="0" collapsed="false">
      <c r="A5" s="26" t="n">
        <v>0</v>
      </c>
      <c r="B5" s="7" t="n">
        <f aca="false">가정!$B$5+MAX(0,INDEX(학생수별!$I$5:$I$204,MATCH(B$4,학생수별!$A$5:$A$204,0)))*$A5</f>
        <v>0</v>
      </c>
      <c r="C5" s="7" t="n">
        <f aca="false">가정!$B$5+MAX(0,INDEX(학생수별!$I$5:$I$204,MATCH(C$4,학생수별!$A$5:$A$204,0)))*$A5</f>
        <v>0</v>
      </c>
      <c r="D5" s="7" t="n">
        <f aca="false">가정!$B$5+MAX(0,INDEX(학생수별!$I$5:$I$204,MATCH(D$4,학생수별!$A$5:$A$204,0)))*$A5</f>
        <v>0</v>
      </c>
      <c r="E5" s="7" t="n">
        <f aca="false">가정!$B$5+MAX(0,INDEX(학생수별!$I$5:$I$204,MATCH(E$4,학생수별!$A$5:$A$204,0)))*$A5</f>
        <v>0</v>
      </c>
      <c r="F5" s="7" t="n">
        <f aca="false">가정!$B$5+MAX(0,INDEX(학생수별!$I$5:$I$204,MATCH(F$4,학생수별!$A$5:$A$204,0)))*$A5</f>
        <v>0</v>
      </c>
      <c r="G5" s="7" t="n">
        <f aca="false">가정!$B$5+MAX(0,INDEX(학생수별!$I$5:$I$204,MATCH(G$4,학생수별!$A$5:$A$204,0)))*$A5</f>
        <v>0</v>
      </c>
      <c r="H5" s="7" t="n">
        <f aca="false">가정!$B$5+MAX(0,INDEX(학생수별!$I$5:$I$204,MATCH(H$4,학생수별!$A$5:$A$204,0)))*$A5</f>
        <v>0</v>
      </c>
      <c r="I5" s="7" t="n">
        <f aca="false">가정!$B$5+MAX(0,INDEX(학생수별!$I$5:$I$204,MATCH(I$4,학생수별!$A$5:$A$204,0)))*$A5</f>
        <v>0</v>
      </c>
      <c r="J5" s="7" t="n">
        <f aca="false">가정!$B$5+MAX(0,INDEX(학생수별!$I$5:$I$204,MATCH(J$4,학생수별!$A$5:$A$204,0)))*$A5</f>
        <v>0</v>
      </c>
      <c r="K5" s="7" t="n">
        <f aca="false">가정!$B$5+MAX(0,INDEX(학생수별!$I$5:$I$204,MATCH(K$4,학생수별!$A$5:$A$204,0)))*$A5</f>
        <v>0</v>
      </c>
      <c r="L5" s="7" t="n">
        <f aca="false">가정!$B$5+MAX(0,INDEX(학생수별!$I$5:$I$204,MATCH(L$4,학생수별!$A$5:$A$204,0)))*$A5</f>
        <v>0</v>
      </c>
      <c r="M5" s="7" t="n">
        <f aca="false">가정!$B$5+MAX(0,INDEX(학생수별!$I$5:$I$204,MATCH(M$4,학생수별!$A$5:$A$204,0)))*$A5</f>
        <v>0</v>
      </c>
    </row>
    <row r="6" customFormat="false" ht="15" hidden="false" customHeight="false" outlineLevel="0" collapsed="false">
      <c r="A6" s="26" t="n">
        <v>0.1</v>
      </c>
      <c r="B6" s="7" t="n">
        <f aca="false">가정!$B$5+MAX(0,INDEX(학생수별!$I$5:$I$204,MATCH(B$4,학생수별!$A$5:$A$204,0)))*$A6</f>
        <v>0</v>
      </c>
      <c r="C6" s="7" t="n">
        <f aca="false">가정!$B$5+MAX(0,INDEX(학생수별!$I$5:$I$204,MATCH(C$4,학생수별!$A$5:$A$204,0)))*$A6</f>
        <v>0</v>
      </c>
      <c r="D6" s="7" t="n">
        <f aca="false">가정!$B$5+MAX(0,INDEX(학생수별!$I$5:$I$204,MATCH(D$4,학생수별!$A$5:$A$204,0)))*$A6</f>
        <v>0</v>
      </c>
      <c r="E6" s="7" t="n">
        <f aca="false">가정!$B$5+MAX(0,INDEX(학생수별!$I$5:$I$204,MATCH(E$4,학생수별!$A$5:$A$204,0)))*$A6</f>
        <v>0</v>
      </c>
      <c r="F6" s="7" t="n">
        <f aca="false">가정!$B$5+MAX(0,INDEX(학생수별!$I$5:$I$204,MATCH(F$4,학생수별!$A$5:$A$204,0)))*$A6</f>
        <v>240000</v>
      </c>
      <c r="G6" s="7" t="n">
        <f aca="false">가정!$B$5+MAX(0,INDEX(학생수별!$I$5:$I$204,MATCH(G$4,학생수별!$A$5:$A$204,0)))*$A6</f>
        <v>236000</v>
      </c>
      <c r="H6" s="7" t="n">
        <f aca="false">가정!$B$5+MAX(0,INDEX(학생수별!$I$5:$I$204,MATCH(H$4,학생수별!$A$5:$A$204,0)))*$A6</f>
        <v>512000</v>
      </c>
      <c r="I6" s="7" t="n">
        <f aca="false">가정!$B$5+MAX(0,INDEX(학생수별!$I$5:$I$204,MATCH(I$4,학생수별!$A$5:$A$204,0)))*$A6</f>
        <v>788000</v>
      </c>
      <c r="J6" s="7" t="n">
        <f aca="false">가정!$B$5+MAX(0,INDEX(학생수별!$I$5:$I$204,MATCH(J$4,학생수별!$A$5:$A$204,0)))*$A6</f>
        <v>784000</v>
      </c>
      <c r="K6" s="7" t="n">
        <f aca="false">가정!$B$5+MAX(0,INDEX(학생수별!$I$5:$I$204,MATCH(K$4,학생수별!$A$5:$A$204,0)))*$A6</f>
        <v>1060000</v>
      </c>
      <c r="L6" s="7" t="n">
        <f aca="false">가정!$B$5+MAX(0,INDEX(학생수별!$I$5:$I$204,MATCH(L$4,학생수별!$A$5:$A$204,0)))*$A6</f>
        <v>1332000</v>
      </c>
      <c r="M6" s="7" t="n">
        <f aca="false">가정!$B$5+MAX(0,INDEX(학생수별!$I$5:$I$204,MATCH(M$4,학생수별!$A$5:$A$204,0)))*$A6</f>
        <v>1880000</v>
      </c>
    </row>
    <row r="7" customFormat="false" ht="15" hidden="false" customHeight="false" outlineLevel="0" collapsed="false">
      <c r="A7" s="26" t="n">
        <v>0.15</v>
      </c>
      <c r="B7" s="7" t="n">
        <f aca="false">가정!$B$5+MAX(0,INDEX(학생수별!$I$5:$I$204,MATCH(B$4,학생수별!$A$5:$A$204,0)))*$A7</f>
        <v>0</v>
      </c>
      <c r="C7" s="7" t="n">
        <f aca="false">가정!$B$5+MAX(0,INDEX(학생수별!$I$5:$I$204,MATCH(C$4,학생수별!$A$5:$A$204,0)))*$A7</f>
        <v>0</v>
      </c>
      <c r="D7" s="7" t="n">
        <f aca="false">가정!$B$5+MAX(0,INDEX(학생수별!$I$5:$I$204,MATCH(D$4,학생수별!$A$5:$A$204,0)))*$A7</f>
        <v>0</v>
      </c>
      <c r="E7" s="7" t="n">
        <f aca="false">가정!$B$5+MAX(0,INDEX(학생수별!$I$5:$I$204,MATCH(E$4,학생수별!$A$5:$A$204,0)))*$A7</f>
        <v>0</v>
      </c>
      <c r="F7" s="7" t="n">
        <f aca="false">가정!$B$5+MAX(0,INDEX(학생수별!$I$5:$I$204,MATCH(F$4,학생수별!$A$5:$A$204,0)))*$A7</f>
        <v>360000</v>
      </c>
      <c r="G7" s="7" t="n">
        <f aca="false">가정!$B$5+MAX(0,INDEX(학생수별!$I$5:$I$204,MATCH(G$4,학생수별!$A$5:$A$204,0)))*$A7</f>
        <v>354000</v>
      </c>
      <c r="H7" s="7" t="n">
        <f aca="false">가정!$B$5+MAX(0,INDEX(학생수별!$I$5:$I$204,MATCH(H$4,학생수별!$A$5:$A$204,0)))*$A7</f>
        <v>768000</v>
      </c>
      <c r="I7" s="7" t="n">
        <f aca="false">가정!$B$5+MAX(0,INDEX(학생수별!$I$5:$I$204,MATCH(I$4,학생수별!$A$5:$A$204,0)))*$A7</f>
        <v>1182000</v>
      </c>
      <c r="J7" s="7" t="n">
        <f aca="false">가정!$B$5+MAX(0,INDEX(학생수별!$I$5:$I$204,MATCH(J$4,학생수별!$A$5:$A$204,0)))*$A7</f>
        <v>1176000</v>
      </c>
      <c r="K7" s="7" t="n">
        <f aca="false">가정!$B$5+MAX(0,INDEX(학생수별!$I$5:$I$204,MATCH(K$4,학생수별!$A$5:$A$204,0)))*$A7</f>
        <v>1590000</v>
      </c>
      <c r="L7" s="7" t="n">
        <f aca="false">가정!$B$5+MAX(0,INDEX(학생수별!$I$5:$I$204,MATCH(L$4,학생수별!$A$5:$A$204,0)))*$A7</f>
        <v>1998000</v>
      </c>
      <c r="M7" s="7" t="n">
        <f aca="false">가정!$B$5+MAX(0,INDEX(학생수별!$I$5:$I$204,MATCH(M$4,학생수별!$A$5:$A$204,0)))*$A7</f>
        <v>2820000</v>
      </c>
    </row>
    <row r="8" customFormat="false" ht="15" hidden="false" customHeight="false" outlineLevel="0" collapsed="false">
      <c r="A8" s="26" t="n">
        <v>0.2</v>
      </c>
      <c r="B8" s="7" t="n">
        <f aca="false">가정!$B$5+MAX(0,INDEX(학생수별!$I$5:$I$204,MATCH(B$4,학생수별!$A$5:$A$204,0)))*$A8</f>
        <v>0</v>
      </c>
      <c r="C8" s="7" t="n">
        <f aca="false">가정!$B$5+MAX(0,INDEX(학생수별!$I$5:$I$204,MATCH(C$4,학생수별!$A$5:$A$204,0)))*$A8</f>
        <v>0</v>
      </c>
      <c r="D8" s="7" t="n">
        <f aca="false">가정!$B$5+MAX(0,INDEX(학생수별!$I$5:$I$204,MATCH(D$4,학생수별!$A$5:$A$204,0)))*$A8</f>
        <v>0</v>
      </c>
      <c r="E8" s="7" t="n">
        <f aca="false">가정!$B$5+MAX(0,INDEX(학생수별!$I$5:$I$204,MATCH(E$4,학생수별!$A$5:$A$204,0)))*$A8</f>
        <v>0</v>
      </c>
      <c r="F8" s="7" t="n">
        <f aca="false">가정!$B$5+MAX(0,INDEX(학생수별!$I$5:$I$204,MATCH(F$4,학생수별!$A$5:$A$204,0)))*$A8</f>
        <v>480000</v>
      </c>
      <c r="G8" s="7" t="n">
        <f aca="false">가정!$B$5+MAX(0,INDEX(학생수별!$I$5:$I$204,MATCH(G$4,학생수별!$A$5:$A$204,0)))*$A8</f>
        <v>472000</v>
      </c>
      <c r="H8" s="7" t="n">
        <f aca="false">가정!$B$5+MAX(0,INDEX(학생수별!$I$5:$I$204,MATCH(H$4,학생수별!$A$5:$A$204,0)))*$A8</f>
        <v>1024000</v>
      </c>
      <c r="I8" s="7" t="n">
        <f aca="false">가정!$B$5+MAX(0,INDEX(학생수별!$I$5:$I$204,MATCH(I$4,학생수별!$A$5:$A$204,0)))*$A8</f>
        <v>1576000</v>
      </c>
      <c r="J8" s="7" t="n">
        <f aca="false">가정!$B$5+MAX(0,INDEX(학생수별!$I$5:$I$204,MATCH(J$4,학생수별!$A$5:$A$204,0)))*$A8</f>
        <v>1568000</v>
      </c>
      <c r="K8" s="7" t="n">
        <f aca="false">가정!$B$5+MAX(0,INDEX(학생수별!$I$5:$I$204,MATCH(K$4,학생수별!$A$5:$A$204,0)))*$A8</f>
        <v>2120000</v>
      </c>
      <c r="L8" s="7" t="n">
        <f aca="false">가정!$B$5+MAX(0,INDEX(학생수별!$I$5:$I$204,MATCH(L$4,학생수별!$A$5:$A$204,0)))*$A8</f>
        <v>2664000</v>
      </c>
      <c r="M8" s="7" t="n">
        <f aca="false">가정!$B$5+MAX(0,INDEX(학생수별!$I$5:$I$204,MATCH(M$4,학생수별!$A$5:$A$204,0)))*$A8</f>
        <v>3760000</v>
      </c>
    </row>
    <row r="9" customFormat="false" ht="15" hidden="false" customHeight="false" outlineLevel="0" collapsed="false">
      <c r="A9" s="26" t="n">
        <v>0.25</v>
      </c>
      <c r="B9" s="7" t="n">
        <f aca="false">가정!$B$5+MAX(0,INDEX(학생수별!$I$5:$I$204,MATCH(B$4,학생수별!$A$5:$A$204,0)))*$A9</f>
        <v>0</v>
      </c>
      <c r="C9" s="7" t="n">
        <f aca="false">가정!$B$5+MAX(0,INDEX(학생수별!$I$5:$I$204,MATCH(C$4,학생수별!$A$5:$A$204,0)))*$A9</f>
        <v>0</v>
      </c>
      <c r="D9" s="7" t="n">
        <f aca="false">가정!$B$5+MAX(0,INDEX(학생수별!$I$5:$I$204,MATCH(D$4,학생수별!$A$5:$A$204,0)))*$A9</f>
        <v>0</v>
      </c>
      <c r="E9" s="7" t="n">
        <f aca="false">가정!$B$5+MAX(0,INDEX(학생수별!$I$5:$I$204,MATCH(E$4,학생수별!$A$5:$A$204,0)))*$A9</f>
        <v>0</v>
      </c>
      <c r="F9" s="7" t="n">
        <f aca="false">가정!$B$5+MAX(0,INDEX(학생수별!$I$5:$I$204,MATCH(F$4,학생수별!$A$5:$A$204,0)))*$A9</f>
        <v>600000</v>
      </c>
      <c r="G9" s="7" t="n">
        <f aca="false">가정!$B$5+MAX(0,INDEX(학생수별!$I$5:$I$204,MATCH(G$4,학생수별!$A$5:$A$204,0)))*$A9</f>
        <v>590000</v>
      </c>
      <c r="H9" s="7" t="n">
        <f aca="false">가정!$B$5+MAX(0,INDEX(학생수별!$I$5:$I$204,MATCH(H$4,학생수별!$A$5:$A$204,0)))*$A9</f>
        <v>1280000</v>
      </c>
      <c r="I9" s="7" t="n">
        <f aca="false">가정!$B$5+MAX(0,INDEX(학생수별!$I$5:$I$204,MATCH(I$4,학생수별!$A$5:$A$204,0)))*$A9</f>
        <v>1970000</v>
      </c>
      <c r="J9" s="7" t="n">
        <f aca="false">가정!$B$5+MAX(0,INDEX(학생수별!$I$5:$I$204,MATCH(J$4,학생수별!$A$5:$A$204,0)))*$A9</f>
        <v>1960000</v>
      </c>
      <c r="K9" s="7" t="n">
        <f aca="false">가정!$B$5+MAX(0,INDEX(학생수별!$I$5:$I$204,MATCH(K$4,학생수별!$A$5:$A$204,0)))*$A9</f>
        <v>2650000</v>
      </c>
      <c r="L9" s="7" t="n">
        <f aca="false">가정!$B$5+MAX(0,INDEX(학생수별!$I$5:$I$204,MATCH(L$4,학생수별!$A$5:$A$204,0)))*$A9</f>
        <v>3330000</v>
      </c>
      <c r="M9" s="7" t="n">
        <f aca="false">가정!$B$5+MAX(0,INDEX(학생수별!$I$5:$I$204,MATCH(M$4,학생수별!$A$5:$A$204,0)))*$A9</f>
        <v>4700000</v>
      </c>
    </row>
    <row r="10" customFormat="false" ht="15" hidden="false" customHeight="false" outlineLevel="0" collapsed="false">
      <c r="A10" s="26" t="n">
        <v>0.3</v>
      </c>
      <c r="B10" s="7" t="n">
        <f aca="false">가정!$B$5+MAX(0,INDEX(학생수별!$I$5:$I$204,MATCH(B$4,학생수별!$A$5:$A$204,0)))*$A10</f>
        <v>0</v>
      </c>
      <c r="C10" s="7" t="n">
        <f aca="false">가정!$B$5+MAX(0,INDEX(학생수별!$I$5:$I$204,MATCH(C$4,학생수별!$A$5:$A$204,0)))*$A10</f>
        <v>0</v>
      </c>
      <c r="D10" s="7" t="n">
        <f aca="false">가정!$B$5+MAX(0,INDEX(학생수별!$I$5:$I$204,MATCH(D$4,학생수별!$A$5:$A$204,0)))*$A10</f>
        <v>0</v>
      </c>
      <c r="E10" s="7" t="n">
        <f aca="false">가정!$B$5+MAX(0,INDEX(학생수별!$I$5:$I$204,MATCH(E$4,학생수별!$A$5:$A$204,0)))*$A10</f>
        <v>0</v>
      </c>
      <c r="F10" s="7" t="n">
        <f aca="false">가정!$B$5+MAX(0,INDEX(학생수별!$I$5:$I$204,MATCH(F$4,학생수별!$A$5:$A$204,0)))*$A10</f>
        <v>720000</v>
      </c>
      <c r="G10" s="7" t="n">
        <f aca="false">가정!$B$5+MAX(0,INDEX(학생수별!$I$5:$I$204,MATCH(G$4,학생수별!$A$5:$A$204,0)))*$A10</f>
        <v>708000</v>
      </c>
      <c r="H10" s="7" t="n">
        <f aca="false">가정!$B$5+MAX(0,INDEX(학생수별!$I$5:$I$204,MATCH(H$4,학생수별!$A$5:$A$204,0)))*$A10</f>
        <v>1536000</v>
      </c>
      <c r="I10" s="7" t="n">
        <f aca="false">가정!$B$5+MAX(0,INDEX(학생수별!$I$5:$I$204,MATCH(I$4,학생수별!$A$5:$A$204,0)))*$A10</f>
        <v>2364000</v>
      </c>
      <c r="J10" s="7" t="n">
        <f aca="false">가정!$B$5+MAX(0,INDEX(학생수별!$I$5:$I$204,MATCH(J$4,학생수별!$A$5:$A$204,0)))*$A10</f>
        <v>2352000</v>
      </c>
      <c r="K10" s="7" t="n">
        <f aca="false">가정!$B$5+MAX(0,INDEX(학생수별!$I$5:$I$204,MATCH(K$4,학생수별!$A$5:$A$204,0)))*$A10</f>
        <v>3180000</v>
      </c>
      <c r="L10" s="7" t="n">
        <f aca="false">가정!$B$5+MAX(0,INDEX(학생수별!$I$5:$I$204,MATCH(L$4,학생수별!$A$5:$A$204,0)))*$A10</f>
        <v>3996000</v>
      </c>
      <c r="M10" s="7" t="n">
        <f aca="false">가정!$B$5+MAX(0,INDEX(학생수별!$I$5:$I$204,MATCH(M$4,학생수별!$A$5:$A$204,0)))*$A10</f>
        <v>5640000</v>
      </c>
    </row>
    <row r="12" customFormat="false" ht="15" hidden="false" customHeight="false" outlineLevel="0" collapsed="false">
      <c r="A12" s="21" t="s">
        <v>122</v>
      </c>
    </row>
    <row r="13" customFormat="false" ht="15" hidden="false" customHeight="false" outlineLevel="0" collapsed="false">
      <c r="A13" s="24" t="s">
        <v>55</v>
      </c>
      <c r="B13" s="25" t="n">
        <f aca="false">B4</f>
        <v>10</v>
      </c>
      <c r="C13" s="25" t="n">
        <f aca="false">C4</f>
        <v>20</v>
      </c>
      <c r="D13" s="25" t="n">
        <f aca="false">D4</f>
        <v>30</v>
      </c>
      <c r="E13" s="25" t="n">
        <f aca="false">E4</f>
        <v>40</v>
      </c>
      <c r="F13" s="25" t="n">
        <f aca="false">F4</f>
        <v>50</v>
      </c>
      <c r="G13" s="25" t="n">
        <f aca="false">G4</f>
        <v>60</v>
      </c>
      <c r="H13" s="25" t="n">
        <f aca="false">H4</f>
        <v>70</v>
      </c>
      <c r="I13" s="25" t="n">
        <f aca="false">I4</f>
        <v>80</v>
      </c>
      <c r="J13" s="25" t="n">
        <f aca="false">J4</f>
        <v>90</v>
      </c>
      <c r="K13" s="25" t="n">
        <f aca="false">K4</f>
        <v>100</v>
      </c>
      <c r="L13" s="25" t="n">
        <f aca="false">L4</f>
        <v>120</v>
      </c>
      <c r="M13" s="25" t="n">
        <f aca="false">M4</f>
        <v>150</v>
      </c>
    </row>
    <row r="14" customFormat="false" ht="15" hidden="false" customHeight="false" outlineLevel="0" collapsed="false">
      <c r="A14" s="4" t="s">
        <v>123</v>
      </c>
      <c r="B14" s="7" t="n">
        <f aca="false">INDEX(학생수별!$L$5:$L$204,MATCH(B$13,학생수별!$A$5:$A$204,0))</f>
        <v>-5840000</v>
      </c>
      <c r="C14" s="7" t="n">
        <f aca="false">INDEX(학생수별!$L$5:$L$204,MATCH(C$13,학생수별!$A$5:$A$204,0))</f>
        <v>-3080000</v>
      </c>
      <c r="D14" s="7" t="n">
        <f aca="false">INDEX(학생수별!$L$5:$L$204,MATCH(D$13,학생수별!$A$5:$A$204,0))</f>
        <v>-3120000</v>
      </c>
      <c r="E14" s="7" t="n">
        <f aca="false">INDEX(학생수별!$L$5:$L$204,MATCH(E$13,학생수별!$A$5:$A$204,0))</f>
        <v>-360000</v>
      </c>
      <c r="F14" s="7" t="n">
        <f aca="false">INDEX(학생수별!$L$5:$L$204,MATCH(F$13,학생수별!$A$5:$A$204,0))</f>
        <v>240000</v>
      </c>
      <c r="G14" s="7" t="n">
        <f aca="false">INDEX(학생수별!$L$5:$L$204,MATCH(G$13,학생수별!$A$5:$A$204,0))</f>
        <v>236000</v>
      </c>
      <c r="H14" s="7" t="n">
        <f aca="false">INDEX(학생수별!$L$5:$L$204,MATCH(H$13,학생수별!$A$5:$A$204,0))</f>
        <v>512000</v>
      </c>
      <c r="I14" s="7" t="n">
        <f aca="false">INDEX(학생수별!$L$5:$L$204,MATCH(I$13,학생수별!$A$5:$A$204,0))</f>
        <v>788000</v>
      </c>
      <c r="J14" s="7" t="n">
        <f aca="false">INDEX(학생수별!$L$5:$L$204,MATCH(J$13,학생수별!$A$5:$A$204,0))</f>
        <v>784000</v>
      </c>
      <c r="K14" s="7" t="n">
        <f aca="false">INDEX(학생수별!$L$5:$L$204,MATCH(K$13,학생수별!$A$5:$A$204,0))</f>
        <v>1060000</v>
      </c>
      <c r="L14" s="7" t="n">
        <f aca="false">INDEX(학생수별!$L$5:$L$204,MATCH(L$13,학생수별!$A$5:$A$204,0))</f>
        <v>1332000</v>
      </c>
      <c r="M14" s="7" t="n">
        <f aca="false">INDEX(학생수별!$L$5:$L$204,MATCH(M$13,학생수별!$A$5:$A$204,0))</f>
        <v>1880000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2026-10-07T16:44:15Z</dcterms:created>
  <dc:creator>openpyxl</dc:creator>
  <dc:description/>
  <dc:language>en-US</dc:language>
  <cp:lastModifiedBy/>
  <dcterms:modified xsi:type="dcterms:W3CDTF">2026-10-07T16:44:15Z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