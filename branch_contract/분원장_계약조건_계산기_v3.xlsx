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요약" sheetId="1" state="visible" r:id="rId3"/>
    <sheet name="1억 상환" sheetId="2" state="visible" r:id="rId4"/>
    <sheet name="가정" sheetId="3" state="visible" r:id="rId5"/>
    <sheet name="학생수별" sheetId="4" state="visible" r:id="rId6"/>
    <sheet name="민감도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<sst xmlns="http://schemas.openxmlformats.org/spreadsheetml/2006/main" count="145" uniqueCount="136">
  <si>
    <r>
      <rPr>
        <b val="true"/>
        <sz val="14"/>
        <rFont val="WenQuanYi Zen Hei"/>
        <family val="2"/>
      </rPr>
      <t xml:space="preserve">분원장 계약 타당성 요약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월급 </t>
    </r>
    <r>
      <rPr>
        <b val="true"/>
        <sz val="14"/>
        <rFont val="Arial"/>
        <family val="0"/>
        <charset val="1"/>
      </rPr>
      <t xml:space="preserve">+ </t>
    </r>
    <r>
      <rPr>
        <b val="true"/>
        <sz val="14"/>
        <rFont val="WenQuanYi Zen Hei"/>
        <family val="2"/>
      </rPr>
      <t xml:space="preserve">순수익 배분</t>
    </r>
    <r>
      <rPr>
        <b val="true"/>
        <sz val="14"/>
        <rFont val="Arial"/>
        <family val="0"/>
        <charset val="1"/>
      </rPr>
      <t xml:space="preserve">)</t>
    </r>
  </si>
  <si>
    <t xml:space="preserve">항목</t>
  </si>
  <si>
    <t xml:space="preserve">값</t>
  </si>
  <si>
    <t xml:space="preserve">설명</t>
  </si>
  <si>
    <t xml:space="preserve">분석 기준 학생 수</t>
  </si>
  <si>
    <t xml:space="preserve">가정 시트에서 변경</t>
  </si>
  <si>
    <t xml:space="preserve">월 매출</t>
  </si>
  <si>
    <r>
      <rPr>
        <sz val="10"/>
        <rFont val="WenQuanYi Zen Hei"/>
        <family val="2"/>
      </rPr>
      <t xml:space="preserve">영업이익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분원장 급여 차감 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</si>
  <si>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매출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고정비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강사비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변동비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로열티</t>
    </r>
  </si>
  <si>
    <t xml:space="preserve">인센티브 기준이익</t>
  </si>
  <si>
    <r>
      <rPr>
        <sz val="9"/>
        <color rgb="FF595959"/>
        <rFont val="WenQuanYi Zen Hei"/>
        <family val="2"/>
      </rPr>
      <t xml:space="preserve">음수면 인센티브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</si>
  <si>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분원장 몫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순수익 </t>
    </r>
    <r>
      <rPr>
        <sz val="10"/>
        <rFont val="Arial"/>
        <family val="0"/>
        <charset val="1"/>
      </rPr>
      <t xml:space="preserve">x </t>
    </r>
    <r>
      <rPr>
        <sz val="10"/>
        <rFont val="WenQuanYi Zen Hei"/>
        <family val="2"/>
      </rPr>
      <t xml:space="preserve">배분율</t>
    </r>
    <r>
      <rPr>
        <sz val="10"/>
        <rFont val="Arial"/>
        <family val="0"/>
        <charset val="1"/>
      </rPr>
      <t xml:space="preserve">)</t>
    </r>
  </si>
  <si>
    <t xml:space="preserve">분원장 월 총보수</t>
  </si>
  <si>
    <r>
      <rPr>
        <sz val="9"/>
        <color rgb="FF595959"/>
        <rFont val="WenQuanYi Zen Hei"/>
        <family val="2"/>
      </rPr>
      <t xml:space="preserve">고정급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순수익 배분</t>
    </r>
  </si>
  <si>
    <r>
      <rPr>
        <sz val="10"/>
        <rFont val="WenQuanYi Zen Hei"/>
        <family val="2"/>
      </rPr>
      <t xml:space="preserve">분원장 연 총보수 </t>
    </r>
    <r>
      <rPr>
        <sz val="10"/>
        <rFont val="Arial"/>
        <family val="0"/>
        <charset val="1"/>
      </rPr>
      <t xml:space="preserve">(12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</si>
  <si>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퇴직금</t>
    </r>
    <r>
      <rPr>
        <sz val="9"/>
        <color rgb="FF595959"/>
        <rFont val="Arial"/>
        <family val="0"/>
        <charset val="1"/>
      </rPr>
      <t xml:space="preserve">·4</t>
    </r>
    <r>
      <rPr>
        <sz val="9"/>
        <color rgb="FF595959"/>
        <rFont val="WenQuanYi Zen Hei"/>
        <family val="2"/>
      </rPr>
      <t xml:space="preserve">대보험 사업주 부담분 제외</t>
    </r>
  </si>
  <si>
    <r>
      <rPr>
        <sz val="10"/>
        <rFont val="WenQuanYi Zen Hei"/>
        <family val="2"/>
      </rPr>
      <t xml:space="preserve">분원장 보수 비중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총보수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매출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</si>
  <si>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일반적으로 지점 매출의 </t>
    </r>
    <r>
      <rPr>
        <sz val="9"/>
        <color rgb="FF595959"/>
        <rFont val="Arial"/>
        <family val="0"/>
        <charset val="1"/>
      </rPr>
      <t xml:space="preserve">15~25% </t>
    </r>
    <r>
      <rPr>
        <sz val="9"/>
        <color rgb="FF595959"/>
        <rFont val="WenQuanYi Zen Hei"/>
        <family val="2"/>
      </rPr>
      <t xml:space="preserve">안팎이 부담 가능한 수준인지 검토</t>
    </r>
  </si>
  <si>
    <r>
      <rPr>
        <sz val="10"/>
        <rFont val="WenQuanYi Zen Hei"/>
        <family val="2"/>
      </rPr>
      <t xml:space="preserve">본사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운영주체</t>
    </r>
    <r>
      <rPr>
        <sz val="10"/>
        <rFont val="Arial"/>
        <family val="0"/>
        <charset val="1"/>
      </rPr>
      <t xml:space="preserve">) </t>
    </r>
    <r>
      <rPr>
        <sz val="10"/>
        <rFont val="WenQuanYi Zen Hei"/>
        <family val="2"/>
      </rPr>
      <t xml:space="preserve">귀속 순이익</t>
    </r>
  </si>
  <si>
    <t xml:space="preserve">분원장 보수까지 준 뒤 남는 이익</t>
  </si>
  <si>
    <r>
      <rPr>
        <sz val="10"/>
        <rFont val="WenQuanYi Zen Hei"/>
        <family val="2"/>
      </rPr>
      <t xml:space="preserve">영업이익 중 분원장 몫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총보수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영업이익</t>
    </r>
    <r>
      <rPr>
        <sz val="10"/>
        <rFont val="Arial"/>
        <family val="0"/>
        <charset val="1"/>
      </rPr>
      <t xml:space="preserve">)</t>
    </r>
  </si>
  <si>
    <t xml:space="preserve">영업이익 중 분원장이 가져가는 비율</t>
  </si>
  <si>
    <t xml:space="preserve">분원장 환산 시급</t>
  </si>
  <si>
    <r>
      <rPr>
        <sz val="9"/>
        <color rgb="FF595959"/>
        <rFont val="WenQuanYi Zen Hei"/>
        <family val="2"/>
      </rPr>
      <t xml:space="preserve">월 총보수 </t>
    </r>
    <r>
      <rPr>
        <sz val="9"/>
        <color rgb="FF595959"/>
        <rFont val="Arial"/>
        <family val="0"/>
        <charset val="1"/>
      </rPr>
      <t xml:space="preserve">/ </t>
    </r>
    <r>
      <rPr>
        <sz val="9"/>
        <color rgb="FF595959"/>
        <rFont val="WenQuanYi Zen Hei"/>
        <family val="2"/>
      </rPr>
      <t xml:space="preserve">월 근무시간</t>
    </r>
  </si>
  <si>
    <t xml:space="preserve">시장 분원장 보수 대비</t>
  </si>
  <si>
    <r>
      <rPr>
        <sz val="9"/>
        <color rgb="FF595959"/>
        <rFont val="WenQuanYi Zen Hei"/>
        <family val="2"/>
      </rPr>
      <t xml:space="preserve">가정 시트의 시장 비교값 대비 </t>
    </r>
    <r>
      <rPr>
        <sz val="9"/>
        <color rgb="FF595959"/>
        <rFont val="Arial"/>
        <family val="0"/>
        <charset val="1"/>
      </rPr>
      <t xml:space="preserve">+/-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</si>
  <si>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핵심 기준 인원</t>
    </r>
    <r>
      <rPr>
        <b val="true"/>
        <sz val="10"/>
        <rFont val="Arial"/>
        <family val="0"/>
        <charset val="1"/>
      </rPr>
      <t xml:space="preserve">]</t>
    </r>
  </si>
  <si>
    <t xml:space="preserve">순수익이 처음 발생하는 학생 수</t>
  </si>
  <si>
    <r>
      <rPr>
        <sz val="9"/>
        <color rgb="FF595959"/>
        <rFont val="WenQuanYi Zen Hei"/>
        <family val="2"/>
      </rPr>
      <t xml:space="preserve">이 인원 미만에선 순수익 배분이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원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적자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</si>
  <si>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본사 손익분기 학생 수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분원장 보수 지급 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</si>
  <si>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이 인원 미만이면 본사가 적자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계약 지속 불가능</t>
    </r>
  </si>
  <si>
    <t xml:space="preserve">분원장 목표보수 달성 학생 수</t>
  </si>
  <si>
    <r>
      <rPr>
        <sz val="9"/>
        <color rgb="FF595959"/>
        <rFont val="WenQuanYi Zen Hei"/>
        <family val="2"/>
      </rPr>
      <t xml:space="preserve">가정 시트의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목표 월 총보수</t>
    </r>
    <r>
      <rPr>
        <sz val="9"/>
        <color rgb="FF595959"/>
        <rFont val="Arial"/>
        <family val="0"/>
        <charset val="1"/>
      </rPr>
      <t xml:space="preserve">' </t>
    </r>
    <r>
      <rPr>
        <sz val="9"/>
        <color rgb="FF595959"/>
        <rFont val="WenQuanYi Zen Hei"/>
        <family val="2"/>
      </rPr>
      <t xml:space="preserve">기준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</si>
  <si>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자동 판정</t>
    </r>
    <r>
      <rPr>
        <b val="true"/>
        <sz val="10"/>
        <rFont val="Arial"/>
        <family val="0"/>
        <charset val="1"/>
      </rPr>
      <t xml:space="preserve">]</t>
    </r>
  </si>
  <si>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WenQuanYi Zen Hei"/>
        <family val="2"/>
      </rPr>
      <t xml:space="preserve">억 상환 구간 시뮬레이션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본사 </t>
    </r>
    <r>
      <rPr>
        <b val="true"/>
        <sz val="14"/>
        <rFont val="Arial"/>
        <family val="0"/>
        <charset val="1"/>
      </rPr>
      <t xml:space="preserve">10% / </t>
    </r>
    <r>
      <rPr>
        <b val="true"/>
        <sz val="14"/>
        <rFont val="WenQuanYi Zen Hei"/>
        <family val="2"/>
      </rPr>
      <t xml:space="preserve">원장 </t>
    </r>
    <r>
      <rPr>
        <b val="true"/>
        <sz val="14"/>
        <rFont val="Arial"/>
        <family val="0"/>
        <charset val="1"/>
      </rPr>
      <t xml:space="preserve">90%)</t>
    </r>
  </si>
  <si>
    <r>
      <rPr>
        <i val="true"/>
        <sz val="9"/>
        <rFont val="WenQuanYi Zen Hei"/>
        <family val="2"/>
      </rPr>
      <t xml:space="preserve">해석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초기 인테리어 등 투자비 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WenQuanYi Zen Hei"/>
        <family val="2"/>
      </rPr>
      <t xml:space="preserve">억을 본사가 회수한다고 보고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순수익의 </t>
    </r>
    <r>
      <rPr>
        <i val="true"/>
        <sz val="9"/>
        <rFont val="Arial"/>
        <family val="0"/>
        <charset val="1"/>
      </rPr>
      <t xml:space="preserve">10%</t>
    </r>
    <r>
      <rPr>
        <i val="true"/>
        <sz val="9"/>
        <rFont val="WenQuanYi Zen Hei"/>
        <family val="2"/>
      </rPr>
      <t xml:space="preserve">가 본사로 가서 </t>
    </r>
    <r>
      <rPr>
        <i val="true"/>
        <sz val="9"/>
        <rFont val="Arial"/>
        <family val="0"/>
        <charset val="1"/>
      </rPr>
      <t xml:space="preserve">1</t>
    </r>
    <r>
      <rPr>
        <i val="true"/>
        <sz val="9"/>
        <rFont val="WenQuanYi Zen Hei"/>
        <family val="2"/>
      </rPr>
      <t xml:space="preserve">억 상환에 쓰이고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원장이 </t>
    </r>
    <r>
      <rPr>
        <i val="true"/>
        <sz val="9"/>
        <rFont val="Arial"/>
        <family val="0"/>
        <charset val="1"/>
      </rPr>
      <t xml:space="preserve">90%</t>
    </r>
    <r>
      <rPr>
        <i val="true"/>
        <sz val="9"/>
        <rFont val="WenQuanYi Zen Hei"/>
        <family val="2"/>
      </rPr>
      <t xml:space="preserve">를 가져간다고 가정했습니다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다르면 알려주세요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</si>
  <si>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입력</t>
    </r>
    <r>
      <rPr>
        <b val="true"/>
        <sz val="10"/>
        <rFont val="Arial"/>
        <family val="0"/>
        <charset val="1"/>
      </rPr>
      <t xml:space="preserve">]</t>
    </r>
  </si>
  <si>
    <t xml:space="preserve">상환 대상 금액</t>
  </si>
  <si>
    <r>
      <rPr>
        <sz val="9"/>
        <color rgb="FF595959"/>
        <rFont val="WenQuanYi Zen Hei"/>
        <family val="2"/>
      </rPr>
      <t xml:space="preserve">사용자 제시 </t>
    </r>
    <r>
      <rPr>
        <sz val="9"/>
        <color rgb="FF595959"/>
        <rFont val="Arial"/>
        <family val="0"/>
        <charset val="1"/>
      </rPr>
      <t xml:space="preserve">(1</t>
    </r>
    <r>
      <rPr>
        <sz val="9"/>
        <color rgb="FF595959"/>
        <rFont val="WenQuanYi Zen Hei"/>
        <family val="2"/>
      </rPr>
      <t xml:space="preserve">억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</si>
  <si>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상환 기한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개월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</si>
  <si>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사용자 제시 </t>
    </r>
    <r>
      <rPr>
        <sz val="9"/>
        <color rgb="FF595959"/>
        <rFont val="Arial"/>
        <family val="0"/>
        <charset val="1"/>
      </rPr>
      <t xml:space="preserve">(1</t>
    </r>
    <r>
      <rPr>
        <sz val="9"/>
        <color rgb="FF595959"/>
        <rFont val="WenQuanYi Zen Hei"/>
        <family val="2"/>
      </rPr>
      <t xml:space="preserve">년</t>
    </r>
    <r>
      <rPr>
        <sz val="9"/>
        <color rgb="FF595959"/>
        <rFont val="Arial"/>
        <family val="0"/>
        <charset val="1"/>
      </rPr>
      <t xml:space="preserve">)</t>
    </r>
  </si>
  <si>
    <t xml:space="preserve">상환 후 본사 배분율</t>
  </si>
  <si>
    <r>
      <rPr>
        <sz val="9"/>
        <color rgb="FF595959"/>
        <rFont val="WenQuanYi Zen Hei"/>
        <family val="2"/>
      </rPr>
      <t xml:space="preserve">가정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미정이라 동일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WenQuanYi Zen Hei"/>
        <family val="2"/>
      </rPr>
      <t xml:space="preserve">유지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실제 조건으로 교체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</si>
  <si>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기준 학생 수 결과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</si>
  <si>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영업이익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월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</si>
  <si>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본사 월 수취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상환 재원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</si>
  <si>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원장 월 총수입 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고정급 </t>
    </r>
    <r>
      <rPr>
        <sz val="10"/>
        <rFont val="Arial"/>
        <family val="0"/>
        <charset val="1"/>
      </rPr>
      <t xml:space="preserve">+ </t>
    </r>
    <r>
      <rPr>
        <sz val="10"/>
        <rFont val="WenQuanYi Zen Hei"/>
        <family val="2"/>
      </rPr>
      <t xml:space="preserve">순수익 배분</t>
    </r>
    <r>
      <rPr>
        <sz val="10"/>
        <rFont val="Arial"/>
        <family val="0"/>
        <charset val="1"/>
      </rPr>
      <t xml:space="preserve">)</t>
    </r>
  </si>
  <si>
    <t xml:space="preserve">상환 기한 내 누적 상환액</t>
  </si>
  <si>
    <t xml:space="preserve">기한 후 미상환 잔액</t>
  </si>
  <si>
    <t xml:space="preserve">완납까지 소요 개월</t>
  </si>
  <si>
    <t xml:space="preserve">기한 내 완납에 필요한 본사 월 수취액</t>
  </si>
  <si>
    <t xml:space="preserve">그 수취액을 만들기 위한 월 영업이익</t>
  </si>
  <si>
    <t xml:space="preserve">기한 내 완납 가능한 최소 학생 수</t>
  </si>
  <si>
    <t xml:space="preserve">기준 학생 수에서 기한 내 완납에 필요한 본사 배분율</t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</si>
  <si>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학생 수별 상환 가능성</t>
    </r>
    <r>
      <rPr>
        <b val="true"/>
        <sz val="10"/>
        <rFont val="Arial"/>
        <family val="0"/>
        <charset val="1"/>
      </rPr>
      <t xml:space="preserve">]</t>
    </r>
  </si>
  <si>
    <t xml:space="preserve">학생 수</t>
  </si>
  <si>
    <t xml:space="preserve">월 영업이익</t>
  </si>
  <si>
    <t xml:space="preserve">본사 월 수취</t>
  </si>
  <si>
    <t xml:space="preserve">원장 월 수입</t>
  </si>
  <si>
    <t xml:space="preserve">기한 내 누적 상환</t>
  </si>
  <si>
    <t xml:space="preserve">기한 후 잔액</t>
  </si>
  <si>
    <t xml:space="preserve">완납 소요 개월</t>
  </si>
  <si>
    <r>
      <rPr>
        <b val="true"/>
        <sz val="10"/>
        <color rgb="FFFFFFFF"/>
        <rFont val="WenQuanYi Zen Hei"/>
        <family val="2"/>
      </rPr>
      <t xml:space="preserve">기한 내 완납</t>
    </r>
    <r>
      <rPr>
        <b val="true"/>
        <sz val="10"/>
        <color rgb="FFFFFFFF"/>
        <rFont val="Arial"/>
        <family val="0"/>
        <charset val="1"/>
      </rPr>
      <t xml:space="preserve">?</t>
    </r>
  </si>
  <si>
    <r>
      <rPr>
        <b val="true"/>
        <sz val="14"/>
        <rFont val="WenQuanYi Zen Hei"/>
        <family val="2"/>
      </rPr>
      <t xml:space="preserve">분원장 계약 조건 시뮬레이터 </t>
    </r>
    <r>
      <rPr>
        <b val="true"/>
        <sz val="14"/>
        <rFont val="Arial"/>
        <family val="0"/>
        <charset val="1"/>
      </rPr>
      <t xml:space="preserve">- </t>
    </r>
    <r>
      <rPr>
        <b val="true"/>
        <sz val="14"/>
        <rFont val="WenQuanYi Zen Hei"/>
        <family val="2"/>
      </rPr>
      <t xml:space="preserve">가정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WenQuanYi Zen Hei"/>
        <family val="2"/>
      </rPr>
      <t xml:space="preserve">입력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</si>
  <si>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rFont val="WenQuanYi Zen Hei"/>
        <family val="2"/>
      </rPr>
      <t xml:space="preserve">파란 글씨 </t>
    </r>
    <r>
      <rPr>
        <i val="true"/>
        <sz val="9"/>
        <rFont val="Arial"/>
        <family val="0"/>
        <charset val="1"/>
      </rPr>
      <t xml:space="preserve">+ </t>
    </r>
    <r>
      <rPr>
        <i val="true"/>
        <sz val="9"/>
        <rFont val="WenQuanYi Zen Hei"/>
        <family val="2"/>
      </rPr>
      <t xml:space="preserve">노란 칸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WenQuanYi Zen Hei"/>
        <family val="2"/>
      </rPr>
      <t xml:space="preserve">직접 수정하는 입력값입니다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아래 수치는 모두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예시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이므로 실제 지점 수치로 교체하세요</t>
    </r>
    <r>
      <rPr>
        <i val="true"/>
        <sz val="9"/>
        <rFont val="Arial"/>
        <family val="0"/>
        <charset val="1"/>
      </rPr>
      <t xml:space="preserve">. (</t>
    </r>
    <r>
      <rPr>
        <i val="true"/>
        <sz val="9"/>
        <rFont val="WenQuanYi Zen Hei"/>
        <family val="2"/>
      </rPr>
      <t xml:space="preserve">단위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원</t>
    </r>
    <r>
      <rPr>
        <i val="true"/>
        <sz val="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</si>
  <si>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계약 조건</t>
    </r>
    <r>
      <rPr>
        <b val="true"/>
        <sz val="10"/>
        <rFont val="Arial"/>
        <family val="0"/>
        <charset val="1"/>
      </rPr>
      <t xml:space="preserve">]</t>
    </r>
  </si>
  <si>
    <t xml:space="preserve">분원장 월 고정급</t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</si>
  <si>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원장급여 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WenQuanYi Zen Hei"/>
        <family val="2"/>
      </rPr>
      <t xml:space="preserve">만원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비용 처리 후 남은 순수익을 </t>
    </r>
    <r>
      <rPr>
        <sz val="9"/>
        <color rgb="FF595959"/>
        <rFont val="Arial"/>
        <family val="0"/>
        <charset val="1"/>
      </rPr>
      <t xml:space="preserve">90:10 </t>
    </r>
    <r>
      <rPr>
        <sz val="9"/>
        <color rgb="FF595959"/>
        <rFont val="WenQuanYi Zen Hei"/>
        <family val="2"/>
      </rPr>
      <t xml:space="preserve">배분</t>
    </r>
    <r>
      <rPr>
        <sz val="9"/>
        <color rgb="FF595959"/>
        <rFont val="Arial"/>
        <family val="0"/>
        <charset val="1"/>
      </rPr>
      <t xml:space="preserve">). 0</t>
    </r>
    <r>
      <rPr>
        <sz val="9"/>
        <color rgb="FF595959"/>
        <rFont val="WenQuanYi Zen Hei"/>
        <family val="2"/>
      </rPr>
      <t xml:space="preserve">이면 급여 없이 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WenQuanYi Zen Hei"/>
        <family val="2"/>
      </rPr>
      <t xml:space="preserve">만</t>
    </r>
  </si>
  <si>
    <r>
      <rPr>
        <sz val="10"/>
        <rFont val="WenQuanYi Zen Hei"/>
        <family val="2"/>
      </rPr>
      <t xml:space="preserve">순수익 배분율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분원장 몫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</si>
  <si>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변경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원장 </t>
    </r>
    <r>
      <rPr>
        <sz val="9"/>
        <color rgb="FF595959"/>
        <rFont val="Arial"/>
        <family val="0"/>
        <charset val="1"/>
      </rPr>
      <t xml:space="preserve">90% / </t>
    </r>
    <r>
      <rPr>
        <sz val="9"/>
        <color rgb="FF595959"/>
        <rFont val="WenQuanYi Zen Hei"/>
        <family val="2"/>
      </rPr>
      <t xml:space="preserve">본사 </t>
    </r>
    <r>
      <rPr>
        <sz val="9"/>
        <color rgb="FF595959"/>
        <rFont val="Arial"/>
        <family val="0"/>
        <charset val="1"/>
      </rPr>
      <t xml:space="preserve">10% (</t>
    </r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</si>
  <si>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인센티브 기준이익에서 고정급 차감</t>
    </r>
    <r>
      <rPr>
        <sz val="10"/>
        <rFont val="Arial"/>
        <family val="0"/>
        <charset val="1"/>
      </rPr>
      <t xml:space="preserve">? (1=</t>
    </r>
    <r>
      <rPr>
        <sz val="10"/>
        <rFont val="WenQuanYi Zen Hei"/>
        <family val="2"/>
      </rPr>
      <t xml:space="preserve">차감</t>
    </r>
    <r>
      <rPr>
        <sz val="10"/>
        <rFont val="Arial"/>
        <family val="0"/>
        <charset val="1"/>
      </rPr>
      <t xml:space="preserve">, 0=</t>
    </r>
    <r>
      <rPr>
        <sz val="10"/>
        <rFont val="WenQuanYi Zen Hei"/>
        <family val="2"/>
      </rPr>
      <t xml:space="preserve">차감 안 함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</si>
  <si>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이면 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고정급까지 준 뒤 남은 순수익</t>
    </r>
    <r>
      <rPr>
        <sz val="9"/>
        <color rgb="FF595959"/>
        <rFont val="Arial"/>
        <family val="0"/>
        <charset val="1"/>
      </rPr>
      <t xml:space="preserve">'</t>
    </r>
    <r>
      <rPr>
        <sz val="9"/>
        <color rgb="FF595959"/>
        <rFont val="WenQuanYi Zen Hei"/>
        <family val="2"/>
      </rPr>
      <t xml:space="preserve">의 </t>
    </r>
    <r>
      <rPr>
        <sz val="9"/>
        <color rgb="FF595959"/>
        <rFont val="Arial"/>
        <family val="0"/>
        <charset val="1"/>
      </rPr>
      <t xml:space="preserve">20%. 0</t>
    </r>
    <r>
      <rPr>
        <sz val="9"/>
        <color rgb="FF595959"/>
        <rFont val="WenQuanYi Zen Hei"/>
        <family val="2"/>
      </rPr>
      <t xml:space="preserve">이면 고정급 차감 전 이익의 </t>
    </r>
    <r>
      <rPr>
        <sz val="9"/>
        <color rgb="FF595959"/>
        <rFont val="Arial"/>
        <family val="0"/>
        <charset val="1"/>
      </rPr>
      <t xml:space="preserve">20%</t>
    </r>
  </si>
  <si>
    <r>
      <rPr>
        <sz val="10"/>
        <rFont val="WenQuanYi Zen Hei"/>
        <family val="2"/>
      </rPr>
      <t xml:space="preserve">분원장 월 근무시간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시급 환산용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</si>
  <si>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주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일 </t>
    </r>
    <r>
      <rPr>
        <sz val="9"/>
        <color rgb="FF595959"/>
        <rFont val="Arial"/>
        <family val="0"/>
        <charset val="1"/>
      </rPr>
      <t xml:space="preserve">x 9</t>
    </r>
    <r>
      <rPr>
        <sz val="9"/>
        <color rgb="FF595959"/>
        <rFont val="WenQuanYi Zen Hei"/>
        <family val="2"/>
      </rPr>
      <t xml:space="preserve">시간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약 </t>
    </r>
    <r>
      <rPr>
        <sz val="9"/>
        <color rgb="FF595959"/>
        <rFont val="Arial"/>
        <family val="0"/>
        <charset val="1"/>
      </rPr>
      <t xml:space="preserve">4.3</t>
    </r>
    <r>
      <rPr>
        <sz val="9"/>
        <color rgb="FF595959"/>
        <rFont val="WenQuanYi Zen Hei"/>
        <family val="2"/>
      </rPr>
      <t xml:space="preserve">주 가정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</si>
  <si>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매출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</si>
  <si>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학생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월 수강료</t>
    </r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</si>
  <si>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29</t>
    </r>
    <r>
      <rPr>
        <sz val="9"/>
        <color rgb="FF595959"/>
        <rFont val="WenQuanYi Zen Hei"/>
        <family val="2"/>
      </rPr>
      <t xml:space="preserve">만원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</si>
  <si>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고정비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월</t>
    </r>
    <r>
      <rPr>
        <b val="true"/>
        <sz val="10"/>
        <rFont val="Arial"/>
        <family val="0"/>
        <charset val="1"/>
      </rPr>
      <t xml:space="preserve">)]</t>
    </r>
  </si>
  <si>
    <t xml:space="preserve">임대료</t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</si>
  <si>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250</t>
    </r>
    <r>
      <rPr>
        <sz val="9"/>
        <color rgb="FF595959"/>
        <rFont val="WenQuanYi Zen Hei"/>
        <family val="2"/>
      </rPr>
      <t xml:space="preserve">만원</t>
    </r>
  </si>
  <si>
    <t xml:space="preserve">관리비</t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</si>
  <si>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70</t>
    </r>
    <r>
      <rPr>
        <sz val="9"/>
        <color rgb="FF595959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</si>
  <si>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정수기</t>
    </r>
    <r>
      <rPr>
        <sz val="10"/>
        <rFont val="Arial"/>
        <family val="0"/>
        <charset val="1"/>
      </rPr>
      <t xml:space="preserve">(4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)+</t>
    </r>
    <r>
      <rPr>
        <sz val="10"/>
        <rFont val="WenQuanYi Zen Hei"/>
        <family val="2"/>
      </rPr>
      <t xml:space="preserve">인터넷</t>
    </r>
    <r>
      <rPr>
        <sz val="10"/>
        <rFont val="Arial"/>
        <family val="0"/>
        <charset val="1"/>
      </rPr>
      <t xml:space="preserve">(5</t>
    </r>
    <r>
      <rPr>
        <sz val="10"/>
        <rFont val="WenQuanYi Zen Hei"/>
        <family val="2"/>
      </rPr>
      <t xml:space="preserve">만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</si>
  <si>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정수기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만원 </t>
    </r>
    <r>
      <rPr>
        <sz val="9"/>
        <color rgb="FF595959"/>
        <rFont val="Arial"/>
        <family val="0"/>
        <charset val="1"/>
      </rPr>
      <t xml:space="preserve">+ </t>
    </r>
    <r>
      <rPr>
        <sz val="9"/>
        <color rgb="FF595959"/>
        <rFont val="WenQuanYi Zen Hei"/>
        <family val="2"/>
      </rPr>
      <t xml:space="preserve">인터넷비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</si>
  <si>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마케팅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광고비</t>
    </r>
  </si>
  <si>
    <r>
      <rPr>
        <sz val="9"/>
        <color rgb="FF595959"/>
        <rFont val="WenQuanYi Zen Hei"/>
        <family val="2"/>
      </rPr>
      <t xml:space="preserve">미제시 </t>
    </r>
    <r>
      <rPr>
        <sz val="9"/>
        <color rgb="FF595959"/>
        <rFont val="Arial"/>
        <family val="0"/>
        <charset val="1"/>
      </rPr>
      <t xml:space="preserve">- </t>
    </r>
    <r>
      <rPr>
        <sz val="9"/>
        <color rgb="FF595959"/>
        <rFont val="WenQuanYi Zen Hei"/>
        <family val="2"/>
      </rPr>
      <t xml:space="preserve">필요 시 입력</t>
    </r>
  </si>
  <si>
    <t xml:space="preserve">기타잡비</t>
  </si>
  <si>
    <r>
      <rPr>
        <sz val="9"/>
        <color rgb="FF595959"/>
        <rFont val="WenQuanYi Zen Hei"/>
        <family val="2"/>
      </rPr>
      <t xml:space="preserve">사용자가 항목만 언급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금액 미제시</t>
    </r>
    <r>
      <rPr>
        <sz val="9"/>
        <color rgb="FF595959"/>
        <rFont val="Arial"/>
        <family val="0"/>
        <charset val="1"/>
      </rPr>
      <t xml:space="preserve">) - </t>
    </r>
    <r>
      <rPr>
        <sz val="9"/>
        <color rgb="FF595959"/>
        <rFont val="WenQuanYi Zen Hei"/>
        <family val="2"/>
      </rPr>
      <t xml:space="preserve">가정값 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만원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교체 필요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</si>
  <si>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인력 구조</t>
    </r>
    <r>
      <rPr>
        <b val="true"/>
        <sz val="10"/>
        <rFont val="Arial"/>
        <family val="0"/>
        <charset val="1"/>
      </rPr>
      <t xml:space="preserve">]</t>
    </r>
  </si>
  <si>
    <t xml:space="preserve">분원장 직접 수업 가능 학생 수</t>
  </si>
  <si>
    <r>
      <rPr>
        <sz val="9"/>
        <color rgb="FF595959"/>
        <rFont val="WenQuanYi Zen Hei"/>
        <family val="2"/>
      </rPr>
      <t xml:space="preserve">원장 수업 미언급 </t>
    </r>
    <r>
      <rPr>
        <sz val="9"/>
        <color rgb="FF595959"/>
        <rFont val="Arial"/>
        <family val="0"/>
        <charset val="1"/>
      </rPr>
      <t xml:space="preserve">- 0</t>
    </r>
    <r>
      <rPr>
        <sz val="9"/>
        <color rgb="FF595959"/>
        <rFont val="WenQuanYi Zen Hei"/>
        <family val="2"/>
      </rPr>
      <t xml:space="preserve">으로 가정</t>
    </r>
  </si>
  <si>
    <r>
      <rPr>
        <sz val="10"/>
        <rFont val="WenQuanYi Zen Hei"/>
        <family val="2"/>
      </rPr>
      <t xml:space="preserve">강사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담당 학생 수</t>
    </r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</si>
  <si>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강사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명이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WenQuanYi Zen Hei"/>
        <family val="2"/>
      </rPr>
      <t xml:space="preserve">명 담당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인원 늘면 계단식 증가</t>
    </r>
    <r>
      <rPr>
        <sz val="9"/>
        <color rgb="FF595959"/>
        <rFont val="Arial"/>
        <family val="0"/>
        <charset val="1"/>
      </rPr>
      <t xml:space="preserve">)</t>
    </r>
  </si>
  <si>
    <t xml:space="preserve">강사 월급</t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</si>
  <si>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450</t>
    </r>
    <r>
      <rPr>
        <sz val="9"/>
        <color rgb="FF595959"/>
        <rFont val="WenQuanYi Zen Hei"/>
        <family val="2"/>
      </rPr>
      <t xml:space="preserve">만원</t>
    </r>
  </si>
  <si>
    <t xml:space="preserve">실장 월급</t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</si>
  <si>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300</t>
    </r>
    <r>
      <rPr>
        <sz val="9"/>
        <color rgb="FF595959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</si>
  <si>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실장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커버 학생 수</t>
    </r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</si>
  <si>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학생 </t>
    </r>
    <r>
      <rPr>
        <sz val="9"/>
        <color rgb="FF595959"/>
        <rFont val="Arial"/>
        <family val="0"/>
        <charset val="1"/>
      </rPr>
      <t xml:space="preserve">200</t>
    </r>
    <r>
      <rPr>
        <sz val="9"/>
        <color rgb="FF595959"/>
        <rFont val="WenQuanYi Zen Hei"/>
        <family val="2"/>
      </rPr>
      <t xml:space="preserve">명 커버 가능</t>
    </r>
  </si>
  <si>
    <t xml:space="preserve">조교 월 알바비</t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</si>
  <si>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40</t>
    </r>
    <r>
      <rPr>
        <sz val="9"/>
        <color rgb="FF595959"/>
        <rFont val="WenQuanYi Zen Hei"/>
        <family val="2"/>
      </rPr>
      <t xml:space="preserve">만원</t>
    </r>
  </si>
  <si>
    <r>
      <rPr>
        <sz val="10"/>
        <rFont val="WenQuanYi Zen Hei"/>
        <family val="2"/>
      </rPr>
      <t xml:space="preserve">조교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학생 수</t>
    </r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</si>
  <si>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학생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WenQuanYi Zen Hei"/>
        <family val="2"/>
      </rPr>
      <t xml:space="preserve">명당 조교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명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</si>
  <si>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변동비</t>
    </r>
    <r>
      <rPr>
        <b val="true"/>
        <sz val="10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</si>
  <si>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학생 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인당 복사기 렌탈료</t>
    </r>
  </si>
  <si>
    <r>
      <rPr>
        <sz val="9"/>
        <color rgb="FF595959"/>
        <rFont val="WenQuanYi Zen Hei"/>
        <family val="2"/>
      </rPr>
      <t xml:space="preserve">사용자 제시</t>
    </r>
    <r>
      <rPr>
        <sz val="9"/>
        <color rgb="FF595959"/>
        <rFont val="Arial"/>
        <family val="0"/>
        <charset val="1"/>
      </rPr>
      <t xml:space="preserve">: 100</t>
    </r>
    <r>
      <rPr>
        <sz val="9"/>
        <color rgb="FF595959"/>
        <rFont val="WenQuanYi Zen Hei"/>
        <family val="2"/>
      </rPr>
      <t xml:space="preserve">명당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WenQuanYi Zen Hei"/>
        <family val="2"/>
      </rPr>
      <t xml:space="preserve">만원 </t>
    </r>
    <r>
      <rPr>
        <sz val="9"/>
        <color rgb="FF595959"/>
        <rFont val="Arial"/>
        <family val="0"/>
        <charset val="1"/>
      </rPr>
      <t xml:space="preserve">= 1</t>
    </r>
    <r>
      <rPr>
        <sz val="9"/>
        <color rgb="FF595959"/>
        <rFont val="WenQuanYi Zen Hei"/>
        <family val="2"/>
      </rPr>
      <t xml:space="preserve">인당 </t>
    </r>
    <r>
      <rPr>
        <sz val="9"/>
        <color rgb="FF595959"/>
        <rFont val="Arial"/>
        <family val="0"/>
        <charset val="1"/>
      </rPr>
      <t xml:space="preserve">1,000</t>
    </r>
    <r>
      <rPr>
        <sz val="9"/>
        <color rgb="FF595959"/>
        <rFont val="WenQuanYi Zen Hei"/>
        <family val="2"/>
      </rPr>
      <t xml:space="preserve">원</t>
    </r>
  </si>
  <si>
    <r>
      <rPr>
        <sz val="10"/>
        <rFont val="WenQuanYi Zen Hei"/>
        <family val="2"/>
      </rPr>
      <t xml:space="preserve">매출 대비 변동비율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결제수수료 등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</si>
  <si>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본사 로열티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매출 대비</t>
    </r>
    <r>
      <rPr>
        <sz val="10"/>
        <rFont val="Arial"/>
        <family val="0"/>
        <charset val="1"/>
      </rPr>
      <t xml:space="preserve">)</t>
    </r>
  </si>
  <si>
    <r>
      <rPr>
        <sz val="9"/>
        <color rgb="FF595959"/>
        <rFont val="WenQuanYi Zen Hei"/>
        <family val="2"/>
      </rPr>
      <t xml:space="preserve">본사 로열티가 있다면 입력</t>
    </r>
    <r>
      <rPr>
        <sz val="9"/>
        <color rgb="FF595959"/>
        <rFont val="Arial"/>
        <family val="0"/>
        <charset val="1"/>
      </rPr>
      <t xml:space="preserve">. </t>
    </r>
    <r>
      <rPr>
        <sz val="9"/>
        <color rgb="FF595959"/>
        <rFont val="WenQuanYi Zen Hei"/>
        <family val="2"/>
      </rPr>
      <t xml:space="preserve">이 경우 본사 몫 계산에서는 로열티 별도</t>
    </r>
  </si>
  <si>
    <r>
      <rPr>
        <b val="true"/>
        <sz val="10"/>
        <rFont val="Arial"/>
        <family val="0"/>
        <charset val="1"/>
      </rPr>
      <t xml:space="preserve">[</t>
    </r>
    <r>
      <rPr>
        <b val="true"/>
        <sz val="10"/>
        <rFont val="WenQuanYi Zen Hei"/>
        <family val="2"/>
      </rPr>
      <t xml:space="preserve">분석 기준</t>
    </r>
    <r>
      <rPr>
        <b val="true"/>
        <sz val="10"/>
        <rFont val="Arial"/>
        <family val="0"/>
        <charset val="1"/>
      </rPr>
      <t xml:space="preserve">]</t>
    </r>
  </si>
  <si>
    <t xml:space="preserve">요약 시트 기준 인원</t>
  </si>
  <si>
    <t xml:space="preserve">비교용 시장 분원장 월 총보수</t>
  </si>
  <si>
    <r>
      <rPr>
        <sz val="9"/>
        <color rgb="FF595959"/>
        <rFont val="WenQuanYi Zen Hei"/>
        <family val="2"/>
      </rPr>
      <t xml:space="preserve">동일 규모 타 지점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시장 분원장 평균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조사 후 교체</t>
    </r>
    <r>
      <rPr>
        <sz val="9"/>
        <color rgb="FF595959"/>
        <rFont val="Arial"/>
        <family val="0"/>
        <charset val="1"/>
      </rPr>
      <t xml:space="preserve">)</t>
    </r>
  </si>
  <si>
    <t xml:space="preserve">분원장 목표 월 총보수</t>
  </si>
  <si>
    <r>
      <rPr>
        <sz val="9"/>
        <color rgb="FF595959"/>
        <rFont val="WenQuanYi Zen Hei"/>
        <family val="2"/>
      </rPr>
      <t xml:space="preserve">이 금액 달성에 필요한 학생 수 계산용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예시</t>
    </r>
    <r>
      <rPr>
        <sz val="9"/>
        <color rgb="FF595959"/>
        <rFont val="Arial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</si>
  <si>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고정비 합계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자동</t>
    </r>
    <r>
      <rPr>
        <b val="true"/>
        <sz val="10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</si>
  <si>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학생 수별 월 손익 및 분원장 보수 </t>
    </r>
    <r>
      <rPr>
        <b val="true"/>
        <sz val="14"/>
        <rFont val="Arial"/>
        <family val="0"/>
        <charset val="1"/>
      </rPr>
      <t xml:space="preserve">(0~500</t>
    </r>
    <r>
      <rPr>
        <b val="true"/>
        <sz val="14"/>
        <rFont val="WenQuanYi Zen Hei"/>
        <family val="2"/>
      </rPr>
      <t xml:space="preserve">명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</si>
  <si>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rFont val="WenQuanYi Zen Hei"/>
        <family val="2"/>
      </rPr>
      <t xml:space="preserve">모든 값은 </t>
    </r>
    <r>
      <rPr>
        <i val="true"/>
        <sz val="9"/>
        <rFont val="Arial"/>
        <family val="0"/>
        <charset val="1"/>
      </rPr>
      <t xml:space="preserve">'</t>
    </r>
    <r>
      <rPr>
        <i val="true"/>
        <sz val="9"/>
        <rFont val="WenQuanYi Zen Hei"/>
        <family val="2"/>
      </rPr>
      <t xml:space="preserve">가정</t>
    </r>
    <r>
      <rPr>
        <i val="true"/>
        <sz val="9"/>
        <rFont val="Arial"/>
        <family val="0"/>
        <charset val="1"/>
      </rPr>
      <t xml:space="preserve">' </t>
    </r>
    <r>
      <rPr>
        <i val="true"/>
        <sz val="9"/>
        <rFont val="WenQuanYi Zen Hei"/>
        <family val="2"/>
      </rPr>
      <t xml:space="preserve">시트의 입력값으로 자동 계산됩니다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단위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WenQuanYi Zen Hei"/>
        <family val="2"/>
      </rPr>
      <t xml:space="preserve">원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WenQuanYi Zen Hei"/>
        <family val="2"/>
      </rPr>
      <t xml:space="preserve">월</t>
    </r>
  </si>
  <si>
    <t xml:space="preserve">고정비</t>
  </si>
  <si>
    <t xml:space="preserve">강사 수</t>
  </si>
  <si>
    <r>
      <rPr>
        <b val="true"/>
        <sz val="10"/>
        <color rgb="FFFFFFFF"/>
        <rFont val="WenQuanYi Zen Hei"/>
        <family val="2"/>
      </rPr>
      <t xml:space="preserve">인건비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강사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실장</t>
    </r>
    <r>
      <rPr>
        <b val="true"/>
        <sz val="10"/>
        <color rgb="FFFFFFFF"/>
        <rFont val="Arial"/>
        <family val="0"/>
        <charset val="1"/>
      </rPr>
      <t xml:space="preserve">+</t>
    </r>
    <r>
      <rPr>
        <b val="true"/>
        <sz val="10"/>
        <color rgb="FFFFFFFF"/>
        <rFont val="WenQuanYi Zen Hei"/>
        <family val="2"/>
      </rPr>
      <t xml:space="preserve">조교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</si>
  <si>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변동비</t>
  </si>
  <si>
    <t xml:space="preserve">본사 로열티</t>
  </si>
  <si>
    <r>
      <rPr>
        <b val="true"/>
        <sz val="10"/>
        <color rgb="FFFFFFFF"/>
        <rFont val="WenQuanYi Zen Hei"/>
        <family val="2"/>
      </rPr>
      <t xml:space="preserve">영업이익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분원장 급여 차감 전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</si>
  <si>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분원장 인센티브</t>
  </si>
  <si>
    <r>
      <rPr>
        <b val="true"/>
        <sz val="10"/>
        <color rgb="FFFFFFFF"/>
        <rFont val="WenQuanYi Zen Hei"/>
        <family val="2"/>
      </rPr>
      <t xml:space="preserve">본사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운영주체</t>
    </r>
    <r>
      <rPr>
        <b val="true"/>
        <sz val="10"/>
        <color rgb="FFFFFFFF"/>
        <rFont val="Arial"/>
        <family val="0"/>
        <charset val="1"/>
      </rPr>
      <t xml:space="preserve">) </t>
    </r>
    <r>
      <rPr>
        <b val="true"/>
        <sz val="10"/>
        <color rgb="FFFFFFFF"/>
        <rFont val="WenQuanYi Zen Hei"/>
        <family val="2"/>
      </rPr>
      <t xml:space="preserve">귀속 순이익</t>
    </r>
  </si>
  <si>
    <r>
      <rPr>
        <b val="true"/>
        <sz val="10"/>
        <color rgb="FFFFFFFF"/>
        <rFont val="WenQuanYi Zen Hei"/>
        <family val="2"/>
      </rPr>
      <t xml:space="preserve">분원장 총보수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매출</t>
    </r>
  </si>
  <si>
    <r>
      <rPr>
        <b val="true"/>
        <sz val="10"/>
        <color rgb="FFFFFFFF"/>
        <rFont val="WenQuanYi Zen Hei"/>
        <family val="2"/>
      </rPr>
      <t xml:space="preserve">인센티브 발생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</si>
  <si>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본사 흑자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</si>
  <si>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목표보수 달성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</si>
  <si>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개월 내 </t>
    </r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억 완납</t>
    </r>
    <r>
      <rPr>
        <b val="true"/>
        <sz val="10"/>
        <color rgb="FFFFFFFF"/>
        <rFont val="Arial"/>
        <family val="0"/>
        <charset val="1"/>
      </rPr>
      <t xml:space="preserve">?(</t>
    </r>
    <r>
      <rPr>
        <b val="true"/>
        <sz val="10"/>
        <color rgb="FFFFFFFF"/>
        <rFont val="WenQuanYi Zen Hei"/>
        <family val="2"/>
      </rPr>
      <t xml:space="preserve">학생수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</si>
  <si>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4"/>
        <rFont val="WenQuanYi Zen Hei"/>
        <family val="2"/>
      </rPr>
      <t xml:space="preserve">분원장 월 총보수</t>
    </r>
    <r>
      <rPr>
        <b val="true"/>
        <sz val="14"/>
        <rFont val="Arial"/>
        <family val="0"/>
        <charset val="1"/>
      </rPr>
      <t xml:space="preserve">: </t>
    </r>
    <r>
      <rPr>
        <b val="true"/>
        <sz val="14"/>
        <rFont val="WenQuanYi Zen Hei"/>
        <family val="2"/>
      </rPr>
      <t xml:space="preserve">학생 수 </t>
    </r>
    <r>
      <rPr>
        <b val="true"/>
        <sz val="14"/>
        <rFont val="Arial"/>
        <family val="0"/>
        <charset val="1"/>
      </rPr>
      <t xml:space="preserve">x </t>
    </r>
    <r>
      <rPr>
        <b val="true"/>
        <sz val="14"/>
        <rFont val="WenQuanYi Zen Hei"/>
        <family val="2"/>
      </rPr>
      <t xml:space="preserve">배분율</t>
    </r>
  </si>
  <si>
    <r>
      <rPr>
        <i val="true"/>
        <sz val="9"/>
        <rFont val="WenQuanYi Zen Hei"/>
        <family val="2"/>
      </rPr>
      <t xml:space="preserve">고정급은 가정 시트 값</t>
    </r>
    <r>
      <rPr>
        <i val="true"/>
        <sz val="9"/>
        <rFont val="Arial"/>
        <family val="0"/>
        <charset val="1"/>
      </rPr>
      <t xml:space="preserve">, </t>
    </r>
    <r>
      <rPr>
        <i val="true"/>
        <sz val="9"/>
        <rFont val="WenQuanYi Zen Hei"/>
        <family val="2"/>
      </rPr>
      <t xml:space="preserve">인센티브 차감 방식도 가정 시트를 따릅니다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WenQuanYi Zen Hei"/>
        <family val="2"/>
      </rPr>
      <t xml:space="preserve">배분율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WenQuanYi Zen Hei"/>
        <family val="2"/>
      </rPr>
      <t xml:space="preserve">노란 칸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WenQuanYi Zen Hei"/>
        <family val="2"/>
      </rPr>
      <t xml:space="preserve">은 직접 변경 가능</t>
    </r>
    <r>
      <rPr>
        <i val="true"/>
        <sz val="9"/>
        <rFont val="Arial"/>
        <family val="0"/>
        <charset val="1"/>
      </rPr>
      <t xml:space="preserve">.</t>
    </r>
  </si>
  <si>
    <r>
      <rPr>
        <b val="true"/>
        <sz val="10"/>
        <color rgb="FFFFFFFF"/>
        <rFont val="WenQuanYi Zen Hei"/>
        <family val="2"/>
      </rPr>
      <t xml:space="preserve">배분율 </t>
    </r>
    <r>
      <rPr>
        <b val="true"/>
        <sz val="10"/>
        <color rgb="FFFFFFFF"/>
        <rFont val="Arial"/>
        <family val="0"/>
        <charset val="1"/>
      </rPr>
      <t xml:space="preserve">\ </t>
    </r>
    <r>
      <rPr>
        <b val="true"/>
        <sz val="10"/>
        <color rgb="FFFFFFFF"/>
        <rFont val="WenQuanYi Zen Hei"/>
        <family val="2"/>
      </rPr>
      <t xml:space="preserve">학생 수</t>
    </r>
  </si>
  <si>
    <r>
      <rPr>
        <b val="true"/>
        <sz val="10"/>
        <rFont val="WenQuanYi Zen Hei"/>
        <family val="2"/>
      </rPr>
      <t xml:space="preserve">학생 수별 본사 귀속 순이익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분원장 보수 지급 후</t>
    </r>
    <r>
      <rPr>
        <b val="true"/>
        <sz val="10"/>
        <rFont val="Arial"/>
        <family val="0"/>
        <charset val="1"/>
      </rPr>
      <t xml:space="preserve">)</t>
    </r>
  </si>
  <si>
    <t xml:space="preserve">현재 계약 기준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</si>
</sst>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;\(#,##0\);\-"/>
    <numFmt numFmtId="167" formatCode="0.0%"/>
    <numFmt numFmtId="168" formatCode="0"/>
    <numFmt numFmtId="169" formatCode="0%"/>
    <numFmt numFmtId="170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Arial"/>
      <family val="0"/>
      <charset val="1"/>
    </font>
    <font>
      <i val="true"/>
      <sz val="10"/>
      <name val="WenQuanYi Zen Hei"/>
      <family val="2"/>
    </font>
    <font>
      <b val="true"/>
      <sz val="10"/>
      <color rgb="FFFFFFFF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WenQuanYi Zen Hei"/>
      <family val="2"/>
    </font>
    <font>
      <i val="true"/>
      <sz val="9"/>
      <name val="WenQuanYi Zen Hei"/>
      <family val="2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99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7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"계약 조건: 월 고정급 "&amp;TEXT(가정!$B$5,"#,##0")&amp;"원 + 순수익의 "&amp;TEXT(가정!$B$6,"0%")&amp;IF(가정!$B$7=1," (고정급 차감 후 순수익 기준)"," (고정급 차감 전 이익 기준)")</f>
        <v>계약 조건: 월 고정급 4,000,000원 + 순수익의 90% (고정급 차감 후 순수익 기준)</v>
      </c>
    </row>
    <row r="4" customFormat="false" ht="15" hidden="false" customHeight="false" outlineLevel="0" collapsed="false">
      <c r="A4" s="3" t="s">
        <v>1</v>
      </c>
      <c r="B4" s="3" t="s">
        <v>2</v>
      </c>
      <c r="C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가정!$B$30</f>
        <v>100</v>
      </c>
      <c r="C5" s="6" t="s">
        <v>5</v>
      </c>
    </row>
    <row r="6" customFormat="false" ht="15" hidden="false" customHeight="false" outlineLevel="0" collapsed="false">
      <c r="A6" s="4" t="s">
        <v>6</v>
      </c>
      <c r="B6" s="7" t="n">
        <f aca="false">INDEX(학생수별!$B$5:$B$505,MATCH(가정!$B$30,학생수별!$A$5:$A$505,0))</f>
        <v>29000000</v>
      </c>
      <c r="C6" s="6"/>
    </row>
    <row r="7" customFormat="false" ht="15" hidden="false" customHeight="false" outlineLevel="0" collapsed="false">
      <c r="A7" s="4" t="s">
        <v>7</v>
      </c>
      <c r="B7" s="7" t="n">
        <f aca="false">INDEX(학생수별!$H$5:$H$505,MATCH(가정!$B$30,학생수별!$A$5:$A$505,0))</f>
        <v>12910000</v>
      </c>
      <c r="C7" s="6" t="s">
        <v>8</v>
      </c>
    </row>
    <row r="8" customFormat="false" ht="15" hidden="false" customHeight="false" outlineLevel="0" collapsed="false">
      <c r="A8" s="4" t="s">
        <v>9</v>
      </c>
      <c r="B8" s="7" t="n">
        <f aca="false">INDEX(학생수별!$I$5:$I$505,MATCH(가정!$B$30,학생수별!$A$5:$A$505,0))</f>
        <v>8910000</v>
      </c>
      <c r="C8" s="6" t="s">
        <v>10</v>
      </c>
    </row>
    <row r="9" customFormat="false" ht="15" hidden="false" customHeight="false" outlineLevel="0" collapsed="false">
      <c r="A9" s="4" t="s">
        <v>11</v>
      </c>
      <c r="B9" s="7" t="n">
        <f aca="false">INDEX(학생수별!$J$5:$J$505,MATCH(가정!$B$30,학생수별!$A$5:$A$505,0))</f>
        <v>8019000</v>
      </c>
      <c r="C9" s="6"/>
    </row>
    <row r="10" customFormat="false" ht="15" hidden="false" customHeight="false" outlineLevel="0" collapsed="false">
      <c r="A10" s="4" t="s">
        <v>12</v>
      </c>
      <c r="B10" s="7" t="n">
        <f aca="false">INDEX(학생수별!$K$5:$K$505,MATCH(가정!$B$30,학생수별!$A$5:$A$505,0))</f>
        <v>12019000</v>
      </c>
      <c r="C10" s="6" t="s">
        <v>13</v>
      </c>
    </row>
    <row r="11" customFormat="false" ht="15" hidden="false" customHeight="false" outlineLevel="0" collapsed="false">
      <c r="A11" s="4" t="s">
        <v>14</v>
      </c>
      <c r="B11" s="7" t="n">
        <f aca="false">B10*12</f>
        <v>144228000</v>
      </c>
      <c r="C11" s="6" t="s">
        <v>15</v>
      </c>
    </row>
    <row r="12" customFormat="false" ht="15" hidden="false" customHeight="false" outlineLevel="0" collapsed="false">
      <c r="A12" s="4" t="s">
        <v>16</v>
      </c>
      <c r="B12" s="8" t="n">
        <f aca="false">INDEX(학생수별!$M$5:$M$505,MATCH(가정!$B$30,학생수별!$A$5:$A$505,0))</f>
        <v>0.414448275862069</v>
      </c>
      <c r="C12" s="6" t="s">
        <v>17</v>
      </c>
    </row>
    <row r="13" customFormat="false" ht="15" hidden="false" customHeight="false" outlineLevel="0" collapsed="false">
      <c r="A13" s="4" t="s">
        <v>18</v>
      </c>
      <c r="B13" s="7" t="n">
        <f aca="false">INDEX(학생수별!$L$5:$L$505,MATCH(가정!$B$30,학생수별!$A$5:$A$505,0))</f>
        <v>891000</v>
      </c>
      <c r="C13" s="6" t="s">
        <v>19</v>
      </c>
    </row>
    <row r="14" customFormat="false" ht="15" hidden="false" customHeight="false" outlineLevel="0" collapsed="false">
      <c r="A14" s="4" t="s">
        <v>20</v>
      </c>
      <c r="B14" s="8" t="n">
        <f aca="false">IF(B7&lt;=0,0,B10/B7)</f>
        <v>0.930983733539892</v>
      </c>
      <c r="C14" s="6" t="s">
        <v>21</v>
      </c>
    </row>
    <row r="15" customFormat="false" ht="15" hidden="false" customHeight="false" outlineLevel="0" collapsed="false">
      <c r="A15" s="4" t="s">
        <v>22</v>
      </c>
      <c r="B15" s="7" t="n">
        <f aca="false">INDEX(학생수별!$N$5:$N$505,MATCH(가정!$B$30,학생수별!$A$5:$A$505,0))</f>
        <v>60095</v>
      </c>
      <c r="C15" s="6" t="s">
        <v>23</v>
      </c>
    </row>
    <row r="16" customFormat="false" ht="15" hidden="false" customHeight="false" outlineLevel="0" collapsed="false">
      <c r="A16" s="4" t="s">
        <v>24</v>
      </c>
      <c r="B16" s="8" t="n">
        <f aca="false">B10/가정!$B$31-1</f>
        <v>1.4038</v>
      </c>
      <c r="C16" s="6" t="s">
        <v>25</v>
      </c>
    </row>
    <row r="17" customFormat="false" ht="15" hidden="false" customHeight="false" outlineLevel="0" collapsed="false">
      <c r="A17" s="9" t="s">
        <v>26</v>
      </c>
      <c r="B17" s="10"/>
      <c r="C17" s="10"/>
    </row>
    <row r="18" customFormat="false" ht="15" hidden="false" customHeight="false" outlineLevel="0" collapsed="false">
      <c r="A18" s="4" t="s">
        <v>27</v>
      </c>
      <c r="B18" s="5" t="n">
        <f aca="false">IF(COUNT(학생수별!$O$5:$O$505)=0,"500명 초과",MIN(학생수별!$O$5:$O$505))</f>
        <v>54</v>
      </c>
      <c r="C18" s="6" t="s">
        <v>28</v>
      </c>
    </row>
    <row r="19" customFormat="false" ht="15" hidden="false" customHeight="false" outlineLevel="0" collapsed="false">
      <c r="A19" s="4" t="s">
        <v>29</v>
      </c>
      <c r="B19" s="5" t="n">
        <f aca="false">IF(COUNT(학생수별!$P$5:$P$505)=0,"500명 초과",MIN(학생수별!$P$5:$P$505))</f>
        <v>54</v>
      </c>
      <c r="C19" s="6" t="s">
        <v>30</v>
      </c>
    </row>
    <row r="20" customFormat="false" ht="15" hidden="false" customHeight="false" outlineLevel="0" collapsed="false">
      <c r="A20" s="4" t="s">
        <v>31</v>
      </c>
      <c r="B20" s="5" t="n">
        <f aca="false">IF(COUNT(학생수별!$Q$5:$Q$505)=0,"500명 초과",MIN(학생수별!$Q$5:$Q$505))</f>
        <v>77</v>
      </c>
      <c r="C20" s="6" t="s">
        <v>32</v>
      </c>
    </row>
    <row r="22" customFormat="false" ht="15" hidden="false" customHeight="false" outlineLevel="0" collapsed="false">
      <c r="A22" s="9" t="s">
        <v>33</v>
      </c>
      <c r="B22" s="10"/>
      <c r="C22" s="10"/>
    </row>
    <row r="23" customFormat="false" ht="31.5" hidden="false" customHeight="true" outlineLevel="0" collapsed="false">
      <c r="A23" s="11" t="str">
        <f aca="false">IF(B7&lt;=0,"기준 인원에서 영업이익이 이미 적자입니다. 400만원 고정급 자체가 지점에 부담입니다.",IF(B13&lt;0,"기준 인원에서 본사가 적자입니다 (분원장 보수 &gt; 영업이익). 계약 조건 재검토 필요.","기준 인원에서 본사 흑자 - 계약 유지 가능."))</f>
        <v>기준 인원에서 본사 흑자 - 계약 유지 가능.</v>
      </c>
      <c r="B23" s="11"/>
      <c r="C23" s="11"/>
    </row>
    <row r="24" customFormat="false" ht="31.5" hidden="false" customHeight="true" outlineLevel="0" collapsed="false">
      <c r="A24" s="11" t="str">
        <f aca="false">IF(B9=0,"기준 인원에서는 순수익 배분이 0원입니다. 학생 수가 "&amp;B18&amp;"명을 넘어야 순수익이 생깁니다.","기준 인원에서 원장 순수익 배분 "&amp;TEXT(B9,"#,##0")&amp;"원 발생, 총보수는 시장 대비 "&amp;TEXT(B16,"+0%;-0%")&amp;".")</f>
        <v>기준 인원에서 원장 순수익 배분 8,019,000원 발생, 총보수는 시장 대비 +140%.</v>
      </c>
      <c r="B24" s="11"/>
      <c r="C24" s="11"/>
    </row>
    <row r="25" customFormat="false" ht="31.5" hidden="false" customHeight="true" outlineLevel="0" collapsed="false">
      <c r="A25" s="11" t="str">
        <f aca="false">IF(B12&gt;0.3,"분원장 보수가 매출의 30%를 넘어 과다합니다.",IF(B12&lt;0.1,"분원장 보수가 매출의 10% 미만으로 분원장 입장에서 동기부여가 약할 수 있습니다.","분원장 보수 비중이 통상적인 범위(10~30%)입니다."))</f>
        <v>분원장 보수가 매출의 30%를 넘어 과다합니다.</v>
      </c>
      <c r="B25" s="11"/>
      <c r="C25" s="11"/>
    </row>
    <row r="26" customFormat="false" ht="31.5" hidden="false" customHeight="true" outlineLevel="0" collapsed="false">
      <c r="A26" s="11" t="str">
        <f aca="false">"참고: 순수익 배분 구조는 학생 수가 늘수록 커지는 구조라 분원장 성장 동기가 되지만, 고정급이 있으면 손익분기까지의 위험을 본사가 지고, 고정급 0이면 적자 위험은 원장이 집니다. 1억 상환 시트에서 상환 가능성을 확인하세요."</f>
        <v>참고: 순수익 배분 구조는 학생 수가 늘수록 커지는 구조라 분원장 성장 동기가 되지만, 고정급이 있으면 손익분기까지의 위험을 본사가 지고, 고정급 0이면 적자 위험은 원장이 집니다. 1억 상환 시트에서 상환 가능성을 확인하세요.</v>
      </c>
      <c r="B26" s="11"/>
      <c r="C26" s="11"/>
    </row>
  </sheetData>
  <mergeCells count="4">
    <mergeCell ref="A23:C23"/>
    <mergeCell ref="A24:C24"/>
    <mergeCell ref="A25:C25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8" min="4" style="0" width="18"/>
  </cols>
  <sheetData>
    <row r="1" customFormat="false" ht="19.4" hidden="false" customHeight="false" outlineLevel="0" collapsed="false">
      <c r="A1" s="12" t="s">
        <v>34</v>
      </c>
    </row>
    <row r="2" customFormat="false" ht="15" hidden="false" customHeight="false" outlineLevel="0" collapsed="false">
      <c r="A2" s="13" t="s">
        <v>35</v>
      </c>
    </row>
    <row r="4" customFormat="false" ht="15" hidden="false" customHeight="false" outlineLevel="0" collapsed="false">
      <c r="A4" s="14" t="s">
        <v>36</v>
      </c>
    </row>
    <row r="5" customFormat="false" ht="15" hidden="false" customHeight="false" outlineLevel="0" collapsed="false">
      <c r="A5" s="4" t="s">
        <v>37</v>
      </c>
      <c r="B5" s="15" t="n">
        <v>100000000</v>
      </c>
      <c r="C5" s="6" t="s">
        <v>38</v>
      </c>
    </row>
    <row r="6" customFormat="false" ht="15" hidden="false" customHeight="false" outlineLevel="0" collapsed="false">
      <c r="A6" s="4" t="s">
        <v>39</v>
      </c>
      <c r="B6" s="16" t="n">
        <v>12</v>
      </c>
      <c r="C6" s="6" t="s">
        <v>40</v>
      </c>
    </row>
    <row r="7" customFormat="false" ht="15" hidden="false" customHeight="false" outlineLevel="0" collapsed="false">
      <c r="A7" s="4" t="s">
        <v>41</v>
      </c>
      <c r="B7" s="17" t="n">
        <v>0.1</v>
      </c>
      <c r="C7" s="6" t="s">
        <v>42</v>
      </c>
    </row>
    <row r="9" customFormat="false" ht="15" hidden="false" customHeight="false" outlineLevel="0" collapsed="false">
      <c r="A9" s="14" t="s">
        <v>43</v>
      </c>
    </row>
    <row r="10" customFormat="false" ht="15" hidden="false" customHeight="false" outlineLevel="0" collapsed="false">
      <c r="A10" s="4" t="s">
        <v>4</v>
      </c>
      <c r="B10" s="7" t="n">
        <f aca="false">가정!$B$30</f>
        <v>100</v>
      </c>
    </row>
    <row r="11" customFormat="false" ht="15" hidden="false" customHeight="false" outlineLevel="0" collapsed="false">
      <c r="A11" s="4" t="s">
        <v>44</v>
      </c>
      <c r="B11" s="7" t="n">
        <f aca="false">INDEX(학생수별!$H$5:$H$505,MATCH(가정!$B$30,학생수별!$A$5:$A$505,0))</f>
        <v>12910000</v>
      </c>
    </row>
    <row r="12" customFormat="false" ht="15" hidden="false" customHeight="false" outlineLevel="0" collapsed="false">
      <c r="A12" s="4" t="s">
        <v>45</v>
      </c>
      <c r="B12" s="7" t="n">
        <f aca="false">MAX(0,INDEX(학생수별!$I$5:$I$505,MATCH(가정!$B$30,학생수별!$A$5:$A$505,0)))*(1-가정!$B$6)</f>
        <v>891000</v>
      </c>
    </row>
    <row r="13" customFormat="false" ht="15" hidden="false" customHeight="false" outlineLevel="0" collapsed="false">
      <c r="A13" s="4" t="s">
        <v>46</v>
      </c>
      <c r="B13" s="7" t="n">
        <f aca="false">INDEX(학생수별!$K$5:$K$505,MATCH(가정!$B$30,학생수별!$A$5:$A$505,0))</f>
        <v>12019000</v>
      </c>
    </row>
    <row r="14" customFormat="false" ht="15" hidden="false" customHeight="false" outlineLevel="0" collapsed="false">
      <c r="A14" s="4" t="s">
        <v>47</v>
      </c>
      <c r="B14" s="7" t="n">
        <f aca="false">B12*B6</f>
        <v>10692000</v>
      </c>
    </row>
    <row r="15" customFormat="false" ht="15" hidden="false" customHeight="false" outlineLevel="0" collapsed="false">
      <c r="A15" s="4" t="s">
        <v>48</v>
      </c>
      <c r="B15" s="7" t="n">
        <f aca="false">MAX(0,B5-B14)</f>
        <v>89308000</v>
      </c>
    </row>
    <row r="16" customFormat="false" ht="15" hidden="false" customHeight="false" outlineLevel="0" collapsed="false">
      <c r="A16" s="4" t="s">
        <v>49</v>
      </c>
      <c r="B16" s="18" t="n">
        <f aca="false">IF(B12&gt;0,B5/B12,"상환 불가(이익 없음)")</f>
        <v>112.233445566779</v>
      </c>
    </row>
    <row r="17" customFormat="false" ht="15" hidden="false" customHeight="false" outlineLevel="0" collapsed="false">
      <c r="A17" s="4" t="s">
        <v>50</v>
      </c>
      <c r="B17" s="7" t="n">
        <f aca="false">B5/B6</f>
        <v>8333333.33333333</v>
      </c>
    </row>
    <row r="18" customFormat="false" ht="15" hidden="false" customHeight="false" outlineLevel="0" collapsed="false">
      <c r="A18" s="4" t="s">
        <v>51</v>
      </c>
      <c r="B18" s="7" t="n">
        <f aca="false">B17/(1-가정!$B$6)</f>
        <v>83333333.3333333</v>
      </c>
    </row>
    <row r="19" customFormat="false" ht="15" hidden="false" customHeight="false" outlineLevel="0" collapsed="false">
      <c r="A19" s="4" t="s">
        <v>52</v>
      </c>
      <c r="B19" s="7" t="n">
        <f aca="false">IF(COUNT(학생수별!$R$5:$R$505)=0,"500명 초과",MIN(학생수별!$R$5:$R$505))</f>
        <v>478</v>
      </c>
    </row>
    <row r="20" customFormat="false" ht="15" hidden="false" customHeight="false" outlineLevel="0" collapsed="false">
      <c r="A20" s="4" t="s">
        <v>53</v>
      </c>
      <c r="B20" s="8" t="n">
        <f aca="false">IF(B11&lt;=0,"이익 없음",MIN(1,B17/B11))</f>
        <v>0.645494448747741</v>
      </c>
    </row>
    <row r="22" customFormat="false" ht="15" hidden="false" customHeight="false" outlineLevel="0" collapsed="false">
      <c r="A22" s="14" t="s">
        <v>54</v>
      </c>
    </row>
    <row r="23" customFormat="false" ht="15" hidden="false" customHeight="false" outlineLevel="0" collapsed="false">
      <c r="A23" s="3" t="s">
        <v>55</v>
      </c>
      <c r="B23" s="3" t="s">
        <v>56</v>
      </c>
      <c r="C23" s="3" t="s">
        <v>57</v>
      </c>
      <c r="D23" s="3" t="s">
        <v>58</v>
      </c>
      <c r="E23" s="3" t="s">
        <v>59</v>
      </c>
      <c r="F23" s="3" t="s">
        <v>60</v>
      </c>
      <c r="G23" s="3" t="s">
        <v>61</v>
      </c>
      <c r="H23" s="3" t="s">
        <v>62</v>
      </c>
    </row>
    <row r="24" customFormat="false" ht="15" hidden="false" customHeight="false" outlineLevel="0" collapsed="false">
      <c r="A24" s="7" t="n">
        <v>0</v>
      </c>
      <c r="B24" s="7" t="n">
        <f aca="false">INDEX(학생수별!$H$5:$H$505,MATCH(A24,학생수별!$A$5:$A$505,0))</f>
        <v>-3590000</v>
      </c>
      <c r="C24" s="7" t="n">
        <f aca="false">MAX(0,INDEX(학생수별!$I$5:$I$505,MATCH(A24,학생수별!$A$5:$A$505,0)))*(1-가정!$B$6)</f>
        <v>0</v>
      </c>
      <c r="D24" s="7" t="n">
        <f aca="false">INDEX(학생수별!$K$5:$K$505,MATCH(A24,학생수별!$A$5:$A$505,0))</f>
        <v>4000000</v>
      </c>
      <c r="E24" s="7" t="n">
        <f aca="false">C24*$B$6</f>
        <v>0</v>
      </c>
      <c r="F24" s="7" t="n">
        <f aca="false">MAX(0,$B$5-E24)</f>
        <v>100000000</v>
      </c>
      <c r="G24" s="18" t="str">
        <f aca="false">IF(C24&gt;0,$B$5/C24,"불가")</f>
        <v>불가</v>
      </c>
      <c r="H24" s="7" t="str">
        <f aca="false">IF(F24=0,"예","아니오")</f>
        <v>아니오</v>
      </c>
    </row>
    <row r="25" customFormat="false" ht="15" hidden="false" customHeight="false" outlineLevel="0" collapsed="false">
      <c r="A25" s="7" t="n">
        <v>50</v>
      </c>
      <c r="B25" s="7" t="n">
        <f aca="false">INDEX(학생수별!$H$5:$H$505,MATCH(A25,학생수별!$A$5:$A$505,0))</f>
        <v>2960000</v>
      </c>
      <c r="C25" s="7" t="n">
        <f aca="false">MAX(0,INDEX(학생수별!$I$5:$I$505,MATCH(A25,학생수별!$A$5:$A$505,0)))*(1-가정!$B$6)</f>
        <v>0</v>
      </c>
      <c r="D25" s="7" t="n">
        <f aca="false">INDEX(학생수별!$K$5:$K$505,MATCH(A25,학생수별!$A$5:$A$505,0))</f>
        <v>4000000</v>
      </c>
      <c r="E25" s="7" t="n">
        <f aca="false">C25*$B$6</f>
        <v>0</v>
      </c>
      <c r="F25" s="7" t="n">
        <f aca="false">MAX(0,$B$5-E25)</f>
        <v>100000000</v>
      </c>
      <c r="G25" s="18" t="str">
        <f aca="false">IF(C25&gt;0,$B$5/C25,"불가")</f>
        <v>불가</v>
      </c>
      <c r="H25" s="7" t="str">
        <f aca="false">IF(F25=0,"예","아니오")</f>
        <v>아니오</v>
      </c>
    </row>
    <row r="26" customFormat="false" ht="15" hidden="false" customHeight="false" outlineLevel="0" collapsed="false">
      <c r="A26" s="7" t="n">
        <v>100</v>
      </c>
      <c r="B26" s="7" t="n">
        <f aca="false">INDEX(학생수별!$H$5:$H$505,MATCH(A26,학생수별!$A$5:$A$505,0))</f>
        <v>12910000</v>
      </c>
      <c r="C26" s="7" t="n">
        <f aca="false">MAX(0,INDEX(학생수별!$I$5:$I$505,MATCH(A26,학생수별!$A$5:$A$505,0)))*(1-가정!$B$6)</f>
        <v>891000</v>
      </c>
      <c r="D26" s="7" t="n">
        <f aca="false">INDEX(학생수별!$K$5:$K$505,MATCH(A26,학생수별!$A$5:$A$505,0))</f>
        <v>12019000</v>
      </c>
      <c r="E26" s="7" t="n">
        <f aca="false">C26*$B$6</f>
        <v>10692000</v>
      </c>
      <c r="F26" s="7" t="n">
        <f aca="false">MAX(0,$B$5-E26)</f>
        <v>89308000</v>
      </c>
      <c r="G26" s="18" t="n">
        <f aca="false">IF(C26&gt;0,$B$5/C26,"불가")</f>
        <v>112.233445566779</v>
      </c>
      <c r="H26" s="7" t="str">
        <f aca="false">IF(F26=0,"예","아니오")</f>
        <v>아니오</v>
      </c>
    </row>
    <row r="27" customFormat="false" ht="15" hidden="false" customHeight="false" outlineLevel="0" collapsed="false">
      <c r="A27" s="7" t="n">
        <v>150</v>
      </c>
      <c r="B27" s="7" t="n">
        <f aca="false">INDEX(학생수별!$H$5:$H$505,MATCH(A27,학생수별!$A$5:$A$505,0))</f>
        <v>22460000</v>
      </c>
      <c r="C27" s="7" t="n">
        <f aca="false">MAX(0,INDEX(학생수별!$I$5:$I$505,MATCH(A27,학생수별!$A$5:$A$505,0)))*(1-가정!$B$6)</f>
        <v>1846000</v>
      </c>
      <c r="D27" s="7" t="n">
        <f aca="false">INDEX(학생수별!$K$5:$K$505,MATCH(A27,학생수별!$A$5:$A$505,0))</f>
        <v>20614000</v>
      </c>
      <c r="E27" s="7" t="n">
        <f aca="false">C27*$B$6</f>
        <v>22152000</v>
      </c>
      <c r="F27" s="7" t="n">
        <f aca="false">MAX(0,$B$5-E27)</f>
        <v>77848000</v>
      </c>
      <c r="G27" s="18" t="n">
        <f aca="false">IF(C27&gt;0,$B$5/C27,"불가")</f>
        <v>54.1711809317443</v>
      </c>
      <c r="H27" s="7" t="str">
        <f aca="false">IF(F27=0,"예","아니오")</f>
        <v>아니오</v>
      </c>
    </row>
    <row r="28" customFormat="false" ht="15" hidden="false" customHeight="false" outlineLevel="0" collapsed="false">
      <c r="A28" s="7" t="n">
        <v>200</v>
      </c>
      <c r="B28" s="7" t="n">
        <f aca="false">INDEX(학생수별!$H$5:$H$505,MATCH(A28,학생수별!$A$5:$A$505,0))</f>
        <v>32410000</v>
      </c>
      <c r="C28" s="7" t="n">
        <f aca="false">MAX(0,INDEX(학생수별!$I$5:$I$505,MATCH(A28,학생수별!$A$5:$A$505,0)))*(1-가정!$B$6)</f>
        <v>2841000</v>
      </c>
      <c r="D28" s="7" t="n">
        <f aca="false">INDEX(학생수별!$K$5:$K$505,MATCH(A28,학생수별!$A$5:$A$505,0))</f>
        <v>29569000</v>
      </c>
      <c r="E28" s="7" t="n">
        <f aca="false">C28*$B$6</f>
        <v>34092000</v>
      </c>
      <c r="F28" s="7" t="n">
        <f aca="false">MAX(0,$B$5-E28)</f>
        <v>65908000</v>
      </c>
      <c r="G28" s="18" t="n">
        <f aca="false">IF(C28&gt;0,$B$5/C28,"불가")</f>
        <v>35.1988736360437</v>
      </c>
      <c r="H28" s="7" t="str">
        <f aca="false">IF(F28=0,"예","아니오")</f>
        <v>아니오</v>
      </c>
    </row>
    <row r="29" customFormat="false" ht="15" hidden="false" customHeight="false" outlineLevel="0" collapsed="false">
      <c r="A29" s="7" t="n">
        <v>250</v>
      </c>
      <c r="B29" s="7" t="n">
        <f aca="false">INDEX(학생수별!$H$5:$H$505,MATCH(A29,학생수별!$A$5:$A$505,0))</f>
        <v>38960000</v>
      </c>
      <c r="C29" s="7" t="n">
        <f aca="false">MAX(0,INDEX(학생수별!$I$5:$I$505,MATCH(A29,학생수별!$A$5:$A$505,0)))*(1-가정!$B$6)</f>
        <v>3496000</v>
      </c>
      <c r="D29" s="7" t="n">
        <f aca="false">INDEX(학생수별!$K$5:$K$505,MATCH(A29,학생수별!$A$5:$A$505,0))</f>
        <v>35464000</v>
      </c>
      <c r="E29" s="7" t="n">
        <f aca="false">C29*$B$6</f>
        <v>41952000</v>
      </c>
      <c r="F29" s="7" t="n">
        <f aca="false">MAX(0,$B$5-E29)</f>
        <v>58048000</v>
      </c>
      <c r="G29" s="18" t="n">
        <f aca="false">IF(C29&gt;0,$B$5/C29,"불가")</f>
        <v>28.604118993135</v>
      </c>
      <c r="H29" s="7" t="str">
        <f aca="false">IF(F29=0,"예","아니오")</f>
        <v>아니오</v>
      </c>
    </row>
    <row r="30" customFormat="false" ht="15" hidden="false" customHeight="false" outlineLevel="0" collapsed="false">
      <c r="A30" s="7" t="n">
        <v>300</v>
      </c>
      <c r="B30" s="7" t="n">
        <f aca="false">INDEX(학생수별!$H$5:$H$505,MATCH(A30,학생수별!$A$5:$A$505,0))</f>
        <v>53410000</v>
      </c>
      <c r="C30" s="7" t="n">
        <f aca="false">MAX(0,INDEX(학생수별!$I$5:$I$505,MATCH(A30,학생수별!$A$5:$A$505,0)))*(1-가정!$B$6)</f>
        <v>4941000</v>
      </c>
      <c r="D30" s="7" t="n">
        <f aca="false">INDEX(학생수별!$K$5:$K$505,MATCH(A30,학생수별!$A$5:$A$505,0))</f>
        <v>48469000</v>
      </c>
      <c r="E30" s="7" t="n">
        <f aca="false">C30*$B$6</f>
        <v>59292000</v>
      </c>
      <c r="F30" s="7" t="n">
        <f aca="false">MAX(0,$B$5-E30)</f>
        <v>40708000</v>
      </c>
      <c r="G30" s="18" t="n">
        <f aca="false">IF(C30&gt;0,$B$5/C30,"불가")</f>
        <v>20.2388180530257</v>
      </c>
      <c r="H30" s="7" t="str">
        <f aca="false">IF(F30=0,"예","아니오")</f>
        <v>아니오</v>
      </c>
    </row>
    <row r="31" customFormat="false" ht="15" hidden="false" customHeight="false" outlineLevel="0" collapsed="false">
      <c r="A31" s="7" t="n">
        <v>350</v>
      </c>
      <c r="B31" s="7" t="n">
        <f aca="false">INDEX(학생수별!$H$5:$H$505,MATCH(A31,학생수별!$A$5:$A$505,0))</f>
        <v>62960000</v>
      </c>
      <c r="C31" s="7" t="n">
        <f aca="false">MAX(0,INDEX(학생수별!$I$5:$I$505,MATCH(A31,학생수별!$A$5:$A$505,0)))*(1-가정!$B$6)</f>
        <v>5896000</v>
      </c>
      <c r="D31" s="7" t="n">
        <f aca="false">INDEX(학생수별!$K$5:$K$505,MATCH(A31,학생수별!$A$5:$A$505,0))</f>
        <v>57064000</v>
      </c>
      <c r="E31" s="7" t="n">
        <f aca="false">C31*$B$6</f>
        <v>70752000</v>
      </c>
      <c r="F31" s="7" t="n">
        <f aca="false">MAX(0,$B$5-E31)</f>
        <v>29248000</v>
      </c>
      <c r="G31" s="18" t="n">
        <f aca="false">IF(C31&gt;0,$B$5/C31,"불가")</f>
        <v>16.9606512890095</v>
      </c>
      <c r="H31" s="7" t="str">
        <f aca="false">IF(F31=0,"예","아니오")</f>
        <v>아니오</v>
      </c>
    </row>
    <row r="32" customFormat="false" ht="15" hidden="false" customHeight="false" outlineLevel="0" collapsed="false">
      <c r="A32" s="7" t="n">
        <v>400</v>
      </c>
      <c r="B32" s="7" t="n">
        <f aca="false">INDEX(학생수별!$H$5:$H$505,MATCH(A32,학생수별!$A$5:$A$505,0))</f>
        <v>72910000</v>
      </c>
      <c r="C32" s="7" t="n">
        <f aca="false">MAX(0,INDEX(학생수별!$I$5:$I$505,MATCH(A32,학생수별!$A$5:$A$505,0)))*(1-가정!$B$6)</f>
        <v>6891000</v>
      </c>
      <c r="D32" s="7" t="n">
        <f aca="false">INDEX(학생수별!$K$5:$K$505,MATCH(A32,학생수별!$A$5:$A$505,0))</f>
        <v>66019000</v>
      </c>
      <c r="E32" s="7" t="n">
        <f aca="false">C32*$B$6</f>
        <v>82692000</v>
      </c>
      <c r="F32" s="7" t="n">
        <f aca="false">MAX(0,$B$5-E32)</f>
        <v>17308000</v>
      </c>
      <c r="G32" s="18" t="n">
        <f aca="false">IF(C32&gt;0,$B$5/C32,"불가")</f>
        <v>14.5116819039327</v>
      </c>
      <c r="H32" s="7" t="str">
        <f aca="false">IF(F32=0,"예","아니오")</f>
        <v>아니오</v>
      </c>
    </row>
    <row r="33" customFormat="false" ht="15" hidden="false" customHeight="false" outlineLevel="0" collapsed="false">
      <c r="A33" s="7" t="n">
        <v>450</v>
      </c>
      <c r="B33" s="7" t="n">
        <f aca="false">INDEX(학생수별!$H$5:$H$505,MATCH(A33,학생수별!$A$5:$A$505,0))</f>
        <v>79460000</v>
      </c>
      <c r="C33" s="7" t="n">
        <f aca="false">MAX(0,INDEX(학생수별!$I$5:$I$505,MATCH(A33,학생수별!$A$5:$A$505,0)))*(1-가정!$B$6)</f>
        <v>7546000</v>
      </c>
      <c r="D33" s="7" t="n">
        <f aca="false">INDEX(학생수별!$K$5:$K$505,MATCH(A33,학생수별!$A$5:$A$505,0))</f>
        <v>71914000</v>
      </c>
      <c r="E33" s="7" t="n">
        <f aca="false">C33*$B$6</f>
        <v>90552000</v>
      </c>
      <c r="F33" s="7" t="n">
        <f aca="false">MAX(0,$B$5-E33)</f>
        <v>9448000.00000003</v>
      </c>
      <c r="G33" s="18" t="n">
        <f aca="false">IF(C33&gt;0,$B$5/C33,"불가")</f>
        <v>13.2520540683806</v>
      </c>
      <c r="H33" s="7" t="str">
        <f aca="false">IF(F33=0,"예","아니오")</f>
        <v>아니오</v>
      </c>
    </row>
    <row r="34" customFormat="false" ht="15" hidden="false" customHeight="false" outlineLevel="0" collapsed="false">
      <c r="A34" s="7" t="n">
        <v>500</v>
      </c>
      <c r="B34" s="7" t="n">
        <f aca="false">INDEX(학생수별!$H$5:$H$505,MATCH(A34,학생수별!$A$5:$A$505,0))</f>
        <v>89410000</v>
      </c>
      <c r="C34" s="7" t="n">
        <f aca="false">MAX(0,INDEX(학생수별!$I$5:$I$505,MATCH(A34,학생수별!$A$5:$A$505,0)))*(1-가정!$B$6)</f>
        <v>8541000</v>
      </c>
      <c r="D34" s="7" t="n">
        <f aca="false">INDEX(학생수별!$K$5:$K$505,MATCH(A34,학생수별!$A$5:$A$505,0))</f>
        <v>80869000</v>
      </c>
      <c r="E34" s="7" t="n">
        <f aca="false">C34*$B$6</f>
        <v>102492000</v>
      </c>
      <c r="F34" s="7" t="n">
        <f aca="false">MAX(0,$B$5-E34)</f>
        <v>0</v>
      </c>
      <c r="G34" s="18" t="n">
        <f aca="false">IF(C34&gt;0,$B$5/C34,"불가")</f>
        <v>11.7082308863131</v>
      </c>
      <c r="H34" s="7" t="str">
        <f aca="false">IF(F34=0,"예","아니오")</f>
        <v>예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9.4" hidden="false" customHeight="false" outlineLevel="0" collapsed="false">
      <c r="A1" s="1" t="s">
        <v>63</v>
      </c>
    </row>
    <row r="2" customFormat="false" ht="15" hidden="false" customHeight="false" outlineLevel="0" collapsed="false">
      <c r="A2" s="13" t="s">
        <v>64</v>
      </c>
    </row>
    <row r="4" customFormat="false" ht="15" hidden="false" customHeight="false" outlineLevel="0" collapsed="false">
      <c r="A4" s="9" t="s">
        <v>65</v>
      </c>
      <c r="B4" s="10"/>
      <c r="C4" s="10"/>
    </row>
    <row r="5" customFormat="false" ht="15" hidden="false" customHeight="false" outlineLevel="0" collapsed="false">
      <c r="A5" s="4" t="s">
        <v>66</v>
      </c>
      <c r="B5" s="15" t="n">
        <v>4000000</v>
      </c>
      <c r="C5" s="6" t="s">
        <v>67</v>
      </c>
    </row>
    <row r="6" customFormat="false" ht="15" hidden="false" customHeight="false" outlineLevel="0" collapsed="false">
      <c r="A6" s="4" t="s">
        <v>68</v>
      </c>
      <c r="B6" s="19" t="n">
        <v>0.9</v>
      </c>
      <c r="C6" s="6" t="s">
        <v>69</v>
      </c>
    </row>
    <row r="7" customFormat="false" ht="15" hidden="false" customHeight="false" outlineLevel="0" collapsed="false">
      <c r="A7" s="4" t="s">
        <v>70</v>
      </c>
      <c r="B7" s="15" t="n">
        <v>1</v>
      </c>
      <c r="C7" s="20" t="s">
        <v>71</v>
      </c>
    </row>
    <row r="8" customFormat="false" ht="15" hidden="false" customHeight="false" outlineLevel="0" collapsed="false">
      <c r="A8" s="4" t="s">
        <v>72</v>
      </c>
      <c r="B8" s="15" t="n">
        <v>200</v>
      </c>
      <c r="C8" s="6" t="s">
        <v>73</v>
      </c>
    </row>
    <row r="9" customFormat="false" ht="15" hidden="false" customHeight="false" outlineLevel="0" collapsed="false">
      <c r="A9" s="9" t="s">
        <v>74</v>
      </c>
      <c r="B9" s="10"/>
      <c r="C9" s="10"/>
    </row>
    <row r="10" customFormat="false" ht="15" hidden="false" customHeight="false" outlineLevel="0" collapsed="false">
      <c r="A10" s="4" t="s">
        <v>75</v>
      </c>
      <c r="B10" s="15" t="n">
        <v>290000</v>
      </c>
      <c r="C10" s="6" t="s">
        <v>76</v>
      </c>
    </row>
    <row r="11" customFormat="false" ht="15" hidden="false" customHeight="false" outlineLevel="0" collapsed="false">
      <c r="A11" s="9" t="s">
        <v>77</v>
      </c>
      <c r="B11" s="10"/>
      <c r="C11" s="10"/>
    </row>
    <row r="12" customFormat="false" ht="15" hidden="false" customHeight="false" outlineLevel="0" collapsed="false">
      <c r="A12" s="4" t="s">
        <v>78</v>
      </c>
      <c r="B12" s="15" t="n">
        <v>2500000</v>
      </c>
      <c r="C12" s="6" t="s">
        <v>79</v>
      </c>
    </row>
    <row r="13" customFormat="false" ht="15" hidden="false" customHeight="false" outlineLevel="0" collapsed="false">
      <c r="A13" s="4" t="s">
        <v>80</v>
      </c>
      <c r="B13" s="15" t="n">
        <v>700000</v>
      </c>
      <c r="C13" s="6" t="s">
        <v>81</v>
      </c>
    </row>
    <row r="14" customFormat="false" ht="15" hidden="false" customHeight="false" outlineLevel="0" collapsed="false">
      <c r="A14" s="4" t="s">
        <v>82</v>
      </c>
      <c r="B14" s="15" t="n">
        <v>90000</v>
      </c>
      <c r="C14" s="6" t="s">
        <v>83</v>
      </c>
    </row>
    <row r="15" customFormat="false" ht="15" hidden="false" customHeight="false" outlineLevel="0" collapsed="false">
      <c r="A15" s="4" t="s">
        <v>84</v>
      </c>
      <c r="B15" s="15" t="n">
        <v>0</v>
      </c>
      <c r="C15" s="6" t="s">
        <v>85</v>
      </c>
    </row>
    <row r="16" customFormat="false" ht="15" hidden="false" customHeight="false" outlineLevel="0" collapsed="false">
      <c r="A16" s="4" t="s">
        <v>86</v>
      </c>
      <c r="B16" s="15" t="n">
        <v>300000</v>
      </c>
      <c r="C16" s="6" t="s">
        <v>87</v>
      </c>
    </row>
    <row r="17" customFormat="false" ht="15" hidden="false" customHeight="false" outlineLevel="0" collapsed="false">
      <c r="A17" s="9" t="s">
        <v>88</v>
      </c>
      <c r="B17" s="10"/>
      <c r="C17" s="10"/>
    </row>
    <row r="18" customFormat="false" ht="15" hidden="false" customHeight="false" outlineLevel="0" collapsed="false">
      <c r="A18" s="4" t="s">
        <v>89</v>
      </c>
      <c r="B18" s="15" t="n">
        <v>0</v>
      </c>
      <c r="C18" s="6" t="s">
        <v>90</v>
      </c>
    </row>
    <row r="19" customFormat="false" ht="15" hidden="false" customHeight="false" outlineLevel="0" collapsed="false">
      <c r="A19" s="4" t="s">
        <v>91</v>
      </c>
      <c r="B19" s="15" t="n">
        <v>60</v>
      </c>
      <c r="C19" s="6" t="s">
        <v>92</v>
      </c>
    </row>
    <row r="20" customFormat="false" ht="15" hidden="false" customHeight="false" outlineLevel="0" collapsed="false">
      <c r="A20" s="4" t="s">
        <v>93</v>
      </c>
      <c r="B20" s="15" t="n">
        <v>4500000</v>
      </c>
      <c r="C20" s="6" t="s">
        <v>94</v>
      </c>
    </row>
    <row r="21" customFormat="false" ht="15" hidden="false" customHeight="false" outlineLevel="0" collapsed="false">
      <c r="A21" s="4" t="s">
        <v>95</v>
      </c>
      <c r="B21" s="15" t="n">
        <v>3000000</v>
      </c>
      <c r="C21" s="6" t="s">
        <v>96</v>
      </c>
    </row>
    <row r="22" customFormat="false" ht="15" hidden="false" customHeight="false" outlineLevel="0" collapsed="false">
      <c r="A22" s="4" t="s">
        <v>97</v>
      </c>
      <c r="B22" s="15" t="n">
        <v>200</v>
      </c>
      <c r="C22" s="6" t="s">
        <v>98</v>
      </c>
    </row>
    <row r="23" customFormat="false" ht="15" hidden="false" customHeight="false" outlineLevel="0" collapsed="false">
      <c r="A23" s="4" t="s">
        <v>99</v>
      </c>
      <c r="B23" s="15" t="n">
        <v>400000</v>
      </c>
      <c r="C23" s="6" t="s">
        <v>100</v>
      </c>
    </row>
    <row r="24" customFormat="false" ht="15" hidden="false" customHeight="false" outlineLevel="0" collapsed="false">
      <c r="A24" s="4" t="s">
        <v>101</v>
      </c>
      <c r="B24" s="15" t="n">
        <v>100</v>
      </c>
      <c r="C24" s="6" t="s">
        <v>102</v>
      </c>
    </row>
    <row r="25" customFormat="false" ht="15" hidden="false" customHeight="false" outlineLevel="0" collapsed="false">
      <c r="A25" s="9" t="s">
        <v>103</v>
      </c>
      <c r="B25" s="10"/>
      <c r="C25" s="10"/>
    </row>
    <row r="26" customFormat="false" ht="15" hidden="false" customHeight="false" outlineLevel="0" collapsed="false">
      <c r="A26" s="4" t="s">
        <v>104</v>
      </c>
      <c r="B26" s="15" t="n">
        <v>1000</v>
      </c>
      <c r="C26" s="6" t="s">
        <v>105</v>
      </c>
    </row>
    <row r="27" customFormat="false" ht="15" hidden="false" customHeight="false" outlineLevel="0" collapsed="false">
      <c r="A27" s="4" t="s">
        <v>106</v>
      </c>
      <c r="B27" s="19" t="n">
        <v>0</v>
      </c>
      <c r="C27" s="6" t="s">
        <v>85</v>
      </c>
    </row>
    <row r="28" customFormat="false" ht="15" hidden="false" customHeight="false" outlineLevel="0" collapsed="false">
      <c r="A28" s="4" t="s">
        <v>107</v>
      </c>
      <c r="B28" s="19" t="n">
        <v>0</v>
      </c>
      <c r="C28" s="6" t="s">
        <v>108</v>
      </c>
    </row>
    <row r="29" customFormat="false" ht="15" hidden="false" customHeight="false" outlineLevel="0" collapsed="false">
      <c r="A29" s="9" t="s">
        <v>109</v>
      </c>
      <c r="B29" s="10"/>
      <c r="C29" s="10"/>
    </row>
    <row r="30" customFormat="false" ht="15" hidden="false" customHeight="false" outlineLevel="0" collapsed="false">
      <c r="A30" s="4" t="s">
        <v>4</v>
      </c>
      <c r="B30" s="15" t="n">
        <v>100</v>
      </c>
      <c r="C30" s="6" t="s">
        <v>110</v>
      </c>
    </row>
    <row r="31" customFormat="false" ht="15" hidden="false" customHeight="false" outlineLevel="0" collapsed="false">
      <c r="A31" s="4" t="s">
        <v>111</v>
      </c>
      <c r="B31" s="15" t="n">
        <v>5000000</v>
      </c>
      <c r="C31" s="6" t="s">
        <v>112</v>
      </c>
    </row>
    <row r="32" customFormat="false" ht="15" hidden="false" customHeight="false" outlineLevel="0" collapsed="false">
      <c r="A32" s="4" t="s">
        <v>113</v>
      </c>
      <c r="B32" s="15" t="n">
        <v>6000000</v>
      </c>
      <c r="C32" s="6" t="s">
        <v>114</v>
      </c>
    </row>
    <row r="34" customFormat="false" ht="15" hidden="false" customHeight="false" outlineLevel="0" collapsed="false">
      <c r="A34" s="21" t="s">
        <v>115</v>
      </c>
      <c r="B34" s="22" t="n">
        <f aca="false">SUM(B12:B16)</f>
        <v>3590000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7"/>
    <col collapsed="false" customWidth="true" hidden="false" outlineLevel="0" max="14" min="13" style="0" width="12"/>
    <col collapsed="false" customWidth="true" hidden="false" outlineLevel="0" max="17" min="15" style="0" width="14"/>
    <col collapsed="false" customWidth="true" hidden="false" outlineLevel="0" max="18" min="18" style="0" width="16"/>
  </cols>
  <sheetData>
    <row r="1" customFormat="false" ht="19.4" hidden="false" customHeight="false" outlineLevel="0" collapsed="false">
      <c r="A1" s="1" t="s">
        <v>116</v>
      </c>
    </row>
    <row r="2" customFormat="false" ht="15" hidden="false" customHeight="false" outlineLevel="0" collapsed="false">
      <c r="A2" s="13" t="s">
        <v>117</v>
      </c>
    </row>
    <row r="4" customFormat="false" ht="45" hidden="false" customHeight="true" outlineLevel="0" collapsed="false">
      <c r="A4" s="3" t="s">
        <v>55</v>
      </c>
      <c r="B4" s="3" t="s">
        <v>6</v>
      </c>
      <c r="C4" s="3" t="s">
        <v>118</v>
      </c>
      <c r="D4" s="3" t="s">
        <v>119</v>
      </c>
      <c r="E4" s="3" t="s">
        <v>120</v>
      </c>
      <c r="F4" s="3" t="s">
        <v>121</v>
      </c>
      <c r="G4" s="3" t="s">
        <v>122</v>
      </c>
      <c r="H4" s="3" t="s">
        <v>123</v>
      </c>
      <c r="I4" s="3" t="s">
        <v>9</v>
      </c>
      <c r="J4" s="3" t="s">
        <v>124</v>
      </c>
      <c r="K4" s="3" t="s">
        <v>12</v>
      </c>
      <c r="L4" s="3" t="s">
        <v>125</v>
      </c>
      <c r="M4" s="3" t="s">
        <v>126</v>
      </c>
      <c r="N4" s="3" t="s">
        <v>22</v>
      </c>
      <c r="O4" s="3" t="s">
        <v>127</v>
      </c>
      <c r="P4" s="3" t="s">
        <v>128</v>
      </c>
      <c r="Q4" s="3" t="s">
        <v>129</v>
      </c>
      <c r="R4" s="23" t="s">
        <v>130</v>
      </c>
    </row>
    <row r="5" customFormat="false" ht="15" hidden="false" customHeight="false" outlineLevel="0" collapsed="false">
      <c r="A5" s="7" t="n">
        <v>0</v>
      </c>
      <c r="B5" s="7" t="n">
        <f aca="false">A5*가정!$B$10</f>
        <v>0</v>
      </c>
      <c r="C5" s="7" t="n">
        <f aca="false">가정!$B$34</f>
        <v>3590000</v>
      </c>
      <c r="D5" s="7" t="n">
        <f aca="false">ROUNDUP(MAX(0,A5-가정!$B$18)/가정!$B$19,0)</f>
        <v>0</v>
      </c>
      <c r="E5" s="7" t="n">
        <f aca="false">D5*가정!$B$20+ROUNDUP(A5/가정!$B$22,0)*가정!$B$21+ROUNDUP(A5/가정!$B$24,0)*가정!$B$23</f>
        <v>0</v>
      </c>
      <c r="F5" s="7" t="n">
        <f aca="false">A5*가정!$B$26+B5*가정!$B$27</f>
        <v>0</v>
      </c>
      <c r="G5" s="7" t="n">
        <f aca="false">B5*가정!$B$28</f>
        <v>0</v>
      </c>
      <c r="H5" s="7" t="n">
        <f aca="false">B5-C5-E5-F5-G5</f>
        <v>-3590000</v>
      </c>
      <c r="I5" s="7" t="n">
        <f aca="false">H5-IF(가정!$B$7=1,가정!$B$5,0)</f>
        <v>-7590000</v>
      </c>
      <c r="J5" s="7" t="n">
        <f aca="false">MAX(0,I5)*가정!$B$6</f>
        <v>0</v>
      </c>
      <c r="K5" s="7" t="n">
        <f aca="false">가정!$B$5+J5</f>
        <v>4000000</v>
      </c>
      <c r="L5" s="7" t="n">
        <f aca="false">H5-K5</f>
        <v>-7590000</v>
      </c>
      <c r="M5" s="8" t="n">
        <f aca="false">IF(B5=0,0,K5/B5)</f>
        <v>0</v>
      </c>
      <c r="N5" s="7" t="n">
        <f aca="false">K5/가정!$B$8</f>
        <v>20000</v>
      </c>
      <c r="O5" s="7" t="str">
        <f aca="false">IF(I5&gt;0,A5,"")</f>
        <v/>
      </c>
      <c r="P5" s="7" t="str">
        <f aca="false">IF(L5&gt;=0,A5,"")</f>
        <v/>
      </c>
      <c r="Q5" s="7" t="str">
        <f aca="false">IF(K5&gt;=가정!$B$32,A5,"")</f>
        <v/>
      </c>
      <c r="R5" s="7" t="str">
        <f aca="false">IF(MAX(0,I5)*(1-가정!$B$6)*'1억 상환'!$B$6&gt;='1억 상환'!$B$5,A5,"")</f>
        <v/>
      </c>
    </row>
    <row r="6" customFormat="false" ht="15" hidden="false" customHeight="false" outlineLevel="0" collapsed="false">
      <c r="A6" s="7" t="n">
        <v>1</v>
      </c>
      <c r="B6" s="7" t="n">
        <f aca="false">A6*가정!$B$10</f>
        <v>290000</v>
      </c>
      <c r="C6" s="7" t="n">
        <f aca="false">가정!$B$34</f>
        <v>3590000</v>
      </c>
      <c r="D6" s="7" t="n">
        <f aca="false">ROUNDUP(MAX(0,A6-가정!$B$18)/가정!$B$19,0)</f>
        <v>1</v>
      </c>
      <c r="E6" s="7" t="n">
        <f aca="false">D6*가정!$B$20+ROUNDUP(A6/가정!$B$22,0)*가정!$B$21+ROUNDUP(A6/가정!$B$24,0)*가정!$B$23</f>
        <v>7900000</v>
      </c>
      <c r="F6" s="7" t="n">
        <f aca="false">A6*가정!$B$26+B6*가정!$B$27</f>
        <v>1000</v>
      </c>
      <c r="G6" s="7" t="n">
        <f aca="false">B6*가정!$B$28</f>
        <v>0</v>
      </c>
      <c r="H6" s="7" t="n">
        <f aca="false">B6-C6-E6-F6-G6</f>
        <v>-11201000</v>
      </c>
      <c r="I6" s="7" t="n">
        <f aca="false">H6-IF(가정!$B$7=1,가정!$B$5,0)</f>
        <v>-15201000</v>
      </c>
      <c r="J6" s="7" t="n">
        <f aca="false">MAX(0,I6)*가정!$B$6</f>
        <v>0</v>
      </c>
      <c r="K6" s="7" t="n">
        <f aca="false">가정!$B$5+J6</f>
        <v>4000000</v>
      </c>
      <c r="L6" s="7" t="n">
        <f aca="false">H6-K6</f>
        <v>-15201000</v>
      </c>
      <c r="M6" s="8" t="n">
        <f aca="false">IF(B6=0,0,K6/B6)</f>
        <v>13.7931034482759</v>
      </c>
      <c r="N6" s="7" t="n">
        <f aca="false">K6/가정!$B$8</f>
        <v>20000</v>
      </c>
      <c r="O6" s="7" t="str">
        <f aca="false">IF(I6&gt;0,A6,"")</f>
        <v/>
      </c>
      <c r="P6" s="7" t="str">
        <f aca="false">IF(L6&gt;=0,A6,"")</f>
        <v/>
      </c>
      <c r="Q6" s="7" t="str">
        <f aca="false">IF(K6&gt;=가정!$B$32,A6,"")</f>
        <v/>
      </c>
      <c r="R6" s="7" t="str">
        <f aca="false">IF(MAX(0,I6)*(1-가정!$B$6)*'1억 상환'!$B$6&gt;='1억 상환'!$B$5,A6,"")</f>
        <v/>
      </c>
    </row>
    <row r="7" customFormat="false" ht="15" hidden="false" customHeight="false" outlineLevel="0" collapsed="false">
      <c r="A7" s="7" t="n">
        <v>2</v>
      </c>
      <c r="B7" s="7" t="n">
        <f aca="false">A7*가정!$B$10</f>
        <v>580000</v>
      </c>
      <c r="C7" s="7" t="n">
        <f aca="false">가정!$B$34</f>
        <v>3590000</v>
      </c>
      <c r="D7" s="7" t="n">
        <f aca="false">ROUNDUP(MAX(0,A7-가정!$B$18)/가정!$B$19,0)</f>
        <v>1</v>
      </c>
      <c r="E7" s="7" t="n">
        <f aca="false">D7*가정!$B$20+ROUNDUP(A7/가정!$B$22,0)*가정!$B$21+ROUNDUP(A7/가정!$B$24,0)*가정!$B$23</f>
        <v>7900000</v>
      </c>
      <c r="F7" s="7" t="n">
        <f aca="false">A7*가정!$B$26+B7*가정!$B$27</f>
        <v>2000</v>
      </c>
      <c r="G7" s="7" t="n">
        <f aca="false">B7*가정!$B$28</f>
        <v>0</v>
      </c>
      <c r="H7" s="7" t="n">
        <f aca="false">B7-C7-E7-F7-G7</f>
        <v>-10912000</v>
      </c>
      <c r="I7" s="7" t="n">
        <f aca="false">H7-IF(가정!$B$7=1,가정!$B$5,0)</f>
        <v>-14912000</v>
      </c>
      <c r="J7" s="7" t="n">
        <f aca="false">MAX(0,I7)*가정!$B$6</f>
        <v>0</v>
      </c>
      <c r="K7" s="7" t="n">
        <f aca="false">가정!$B$5+J7</f>
        <v>4000000</v>
      </c>
      <c r="L7" s="7" t="n">
        <f aca="false">H7-K7</f>
        <v>-14912000</v>
      </c>
      <c r="M7" s="8" t="n">
        <f aca="false">IF(B7=0,0,K7/B7)</f>
        <v>6.89655172413793</v>
      </c>
      <c r="N7" s="7" t="n">
        <f aca="false">K7/가정!$B$8</f>
        <v>20000</v>
      </c>
      <c r="O7" s="7" t="str">
        <f aca="false">IF(I7&gt;0,A7,"")</f>
        <v/>
      </c>
      <c r="P7" s="7" t="str">
        <f aca="false">IF(L7&gt;=0,A7,"")</f>
        <v/>
      </c>
      <c r="Q7" s="7" t="str">
        <f aca="false">IF(K7&gt;=가정!$B$32,A7,"")</f>
        <v/>
      </c>
      <c r="R7" s="7" t="str">
        <f aca="false">IF(MAX(0,I7)*(1-가정!$B$6)*'1억 상환'!$B$6&gt;='1억 상환'!$B$5,A7,"")</f>
        <v/>
      </c>
    </row>
    <row r="8" customFormat="false" ht="15" hidden="false" customHeight="false" outlineLevel="0" collapsed="false">
      <c r="A8" s="7" t="n">
        <v>3</v>
      </c>
      <c r="B8" s="7" t="n">
        <f aca="false">A8*가정!$B$10</f>
        <v>870000</v>
      </c>
      <c r="C8" s="7" t="n">
        <f aca="false">가정!$B$34</f>
        <v>3590000</v>
      </c>
      <c r="D8" s="7" t="n">
        <f aca="false">ROUNDUP(MAX(0,A8-가정!$B$18)/가정!$B$19,0)</f>
        <v>1</v>
      </c>
      <c r="E8" s="7" t="n">
        <f aca="false">D8*가정!$B$20+ROUNDUP(A8/가정!$B$22,0)*가정!$B$21+ROUNDUP(A8/가정!$B$24,0)*가정!$B$23</f>
        <v>7900000</v>
      </c>
      <c r="F8" s="7" t="n">
        <f aca="false">A8*가정!$B$26+B8*가정!$B$27</f>
        <v>3000</v>
      </c>
      <c r="G8" s="7" t="n">
        <f aca="false">B8*가정!$B$28</f>
        <v>0</v>
      </c>
      <c r="H8" s="7" t="n">
        <f aca="false">B8-C8-E8-F8-G8</f>
        <v>-10623000</v>
      </c>
      <c r="I8" s="7" t="n">
        <f aca="false">H8-IF(가정!$B$7=1,가정!$B$5,0)</f>
        <v>-14623000</v>
      </c>
      <c r="J8" s="7" t="n">
        <f aca="false">MAX(0,I8)*가정!$B$6</f>
        <v>0</v>
      </c>
      <c r="K8" s="7" t="n">
        <f aca="false">가정!$B$5+J8</f>
        <v>4000000</v>
      </c>
      <c r="L8" s="7" t="n">
        <f aca="false">H8-K8</f>
        <v>-14623000</v>
      </c>
      <c r="M8" s="8" t="n">
        <f aca="false">IF(B8=0,0,K8/B8)</f>
        <v>4.59770114942529</v>
      </c>
      <c r="N8" s="7" t="n">
        <f aca="false">K8/가정!$B$8</f>
        <v>20000</v>
      </c>
      <c r="O8" s="7" t="str">
        <f aca="false">IF(I8&gt;0,A8,"")</f>
        <v/>
      </c>
      <c r="P8" s="7" t="str">
        <f aca="false">IF(L8&gt;=0,A8,"")</f>
        <v/>
      </c>
      <c r="Q8" s="7" t="str">
        <f aca="false">IF(K8&gt;=가정!$B$32,A8,"")</f>
        <v/>
      </c>
      <c r="R8" s="7" t="str">
        <f aca="false">IF(MAX(0,I8)*(1-가정!$B$6)*'1억 상환'!$B$6&gt;='1억 상환'!$B$5,A8,"")</f>
        <v/>
      </c>
    </row>
    <row r="9" customFormat="false" ht="15" hidden="false" customHeight="false" outlineLevel="0" collapsed="false">
      <c r="A9" s="7" t="n">
        <v>4</v>
      </c>
      <c r="B9" s="7" t="n">
        <f aca="false">A9*가정!$B$10</f>
        <v>1160000</v>
      </c>
      <c r="C9" s="7" t="n">
        <f aca="false">가정!$B$34</f>
        <v>3590000</v>
      </c>
      <c r="D9" s="7" t="n">
        <f aca="false">ROUNDUP(MAX(0,A9-가정!$B$18)/가정!$B$19,0)</f>
        <v>1</v>
      </c>
      <c r="E9" s="7" t="n">
        <f aca="false">D9*가정!$B$20+ROUNDUP(A9/가정!$B$22,0)*가정!$B$21+ROUNDUP(A9/가정!$B$24,0)*가정!$B$23</f>
        <v>7900000</v>
      </c>
      <c r="F9" s="7" t="n">
        <f aca="false">A9*가정!$B$26+B9*가정!$B$27</f>
        <v>4000</v>
      </c>
      <c r="G9" s="7" t="n">
        <f aca="false">B9*가정!$B$28</f>
        <v>0</v>
      </c>
      <c r="H9" s="7" t="n">
        <f aca="false">B9-C9-E9-F9-G9</f>
        <v>-10334000</v>
      </c>
      <c r="I9" s="7" t="n">
        <f aca="false">H9-IF(가정!$B$7=1,가정!$B$5,0)</f>
        <v>-14334000</v>
      </c>
      <c r="J9" s="7" t="n">
        <f aca="false">MAX(0,I9)*가정!$B$6</f>
        <v>0</v>
      </c>
      <c r="K9" s="7" t="n">
        <f aca="false">가정!$B$5+J9</f>
        <v>4000000</v>
      </c>
      <c r="L9" s="7" t="n">
        <f aca="false">H9-K9</f>
        <v>-14334000</v>
      </c>
      <c r="M9" s="8" t="n">
        <f aca="false">IF(B9=0,0,K9/B9)</f>
        <v>3.44827586206897</v>
      </c>
      <c r="N9" s="7" t="n">
        <f aca="false">K9/가정!$B$8</f>
        <v>20000</v>
      </c>
      <c r="O9" s="7" t="str">
        <f aca="false">IF(I9&gt;0,A9,"")</f>
        <v/>
      </c>
      <c r="P9" s="7" t="str">
        <f aca="false">IF(L9&gt;=0,A9,"")</f>
        <v/>
      </c>
      <c r="Q9" s="7" t="str">
        <f aca="false">IF(K9&gt;=가정!$B$32,A9,"")</f>
        <v/>
      </c>
      <c r="R9" s="7" t="str">
        <f aca="false">IF(MAX(0,I9)*(1-가정!$B$6)*'1억 상환'!$B$6&gt;='1억 상환'!$B$5,A9,"")</f>
        <v/>
      </c>
    </row>
    <row r="10" customFormat="false" ht="15" hidden="false" customHeight="false" outlineLevel="0" collapsed="false">
      <c r="A10" s="7" t="n">
        <v>5</v>
      </c>
      <c r="B10" s="7" t="n">
        <f aca="false">A10*가정!$B$10</f>
        <v>1450000</v>
      </c>
      <c r="C10" s="7" t="n">
        <f aca="false">가정!$B$34</f>
        <v>3590000</v>
      </c>
      <c r="D10" s="7" t="n">
        <f aca="false">ROUNDUP(MAX(0,A10-가정!$B$18)/가정!$B$19,0)</f>
        <v>1</v>
      </c>
      <c r="E10" s="7" t="n">
        <f aca="false">D10*가정!$B$20+ROUNDUP(A10/가정!$B$22,0)*가정!$B$21+ROUNDUP(A10/가정!$B$24,0)*가정!$B$23</f>
        <v>7900000</v>
      </c>
      <c r="F10" s="7" t="n">
        <f aca="false">A10*가정!$B$26+B10*가정!$B$27</f>
        <v>5000</v>
      </c>
      <c r="G10" s="7" t="n">
        <f aca="false">B10*가정!$B$28</f>
        <v>0</v>
      </c>
      <c r="H10" s="7" t="n">
        <f aca="false">B10-C10-E10-F10-G10</f>
        <v>-10045000</v>
      </c>
      <c r="I10" s="7" t="n">
        <f aca="false">H10-IF(가정!$B$7=1,가정!$B$5,0)</f>
        <v>-14045000</v>
      </c>
      <c r="J10" s="7" t="n">
        <f aca="false">MAX(0,I10)*가정!$B$6</f>
        <v>0</v>
      </c>
      <c r="K10" s="7" t="n">
        <f aca="false">가정!$B$5+J10</f>
        <v>4000000</v>
      </c>
      <c r="L10" s="7" t="n">
        <f aca="false">H10-K10</f>
        <v>-14045000</v>
      </c>
      <c r="M10" s="8" t="n">
        <f aca="false">IF(B10=0,0,K10/B10)</f>
        <v>2.75862068965517</v>
      </c>
      <c r="N10" s="7" t="n">
        <f aca="false">K10/가정!$B$8</f>
        <v>20000</v>
      </c>
      <c r="O10" s="7" t="str">
        <f aca="false">IF(I10&gt;0,A10,"")</f>
        <v/>
      </c>
      <c r="P10" s="7" t="str">
        <f aca="false">IF(L10&gt;=0,A10,"")</f>
        <v/>
      </c>
      <c r="Q10" s="7" t="str">
        <f aca="false">IF(K10&gt;=가정!$B$32,A10,"")</f>
        <v/>
      </c>
      <c r="R10" s="7" t="str">
        <f aca="false">IF(MAX(0,I10)*(1-가정!$B$6)*'1억 상환'!$B$6&gt;='1억 상환'!$B$5,A10,"")</f>
        <v/>
      </c>
    </row>
    <row r="11" customFormat="false" ht="15" hidden="false" customHeight="false" outlineLevel="0" collapsed="false">
      <c r="A11" s="7" t="n">
        <v>6</v>
      </c>
      <c r="B11" s="7" t="n">
        <f aca="false">A11*가정!$B$10</f>
        <v>1740000</v>
      </c>
      <c r="C11" s="7" t="n">
        <f aca="false">가정!$B$34</f>
        <v>3590000</v>
      </c>
      <c r="D11" s="7" t="n">
        <f aca="false">ROUNDUP(MAX(0,A11-가정!$B$18)/가정!$B$19,0)</f>
        <v>1</v>
      </c>
      <c r="E11" s="7" t="n">
        <f aca="false">D11*가정!$B$20+ROUNDUP(A11/가정!$B$22,0)*가정!$B$21+ROUNDUP(A11/가정!$B$24,0)*가정!$B$23</f>
        <v>7900000</v>
      </c>
      <c r="F11" s="7" t="n">
        <f aca="false">A11*가정!$B$26+B11*가정!$B$27</f>
        <v>6000</v>
      </c>
      <c r="G11" s="7" t="n">
        <f aca="false">B11*가정!$B$28</f>
        <v>0</v>
      </c>
      <c r="H11" s="7" t="n">
        <f aca="false">B11-C11-E11-F11-G11</f>
        <v>-9756000</v>
      </c>
      <c r="I11" s="7" t="n">
        <f aca="false">H11-IF(가정!$B$7=1,가정!$B$5,0)</f>
        <v>-13756000</v>
      </c>
      <c r="J11" s="7" t="n">
        <f aca="false">MAX(0,I11)*가정!$B$6</f>
        <v>0</v>
      </c>
      <c r="K11" s="7" t="n">
        <f aca="false">가정!$B$5+J11</f>
        <v>4000000</v>
      </c>
      <c r="L11" s="7" t="n">
        <f aca="false">H11-K11</f>
        <v>-13756000</v>
      </c>
      <c r="M11" s="8" t="n">
        <f aca="false">IF(B11=0,0,K11/B11)</f>
        <v>2.29885057471264</v>
      </c>
      <c r="N11" s="7" t="n">
        <f aca="false">K11/가정!$B$8</f>
        <v>20000</v>
      </c>
      <c r="O11" s="7" t="str">
        <f aca="false">IF(I11&gt;0,A11,"")</f>
        <v/>
      </c>
      <c r="P11" s="7" t="str">
        <f aca="false">IF(L11&gt;=0,A11,"")</f>
        <v/>
      </c>
      <c r="Q11" s="7" t="str">
        <f aca="false">IF(K11&gt;=가정!$B$32,A11,"")</f>
        <v/>
      </c>
      <c r="R11" s="7" t="str">
        <f aca="false">IF(MAX(0,I11)*(1-가정!$B$6)*'1억 상환'!$B$6&gt;='1억 상환'!$B$5,A11,"")</f>
        <v/>
      </c>
    </row>
    <row r="12" customFormat="false" ht="15" hidden="false" customHeight="false" outlineLevel="0" collapsed="false">
      <c r="A12" s="7" t="n">
        <v>7</v>
      </c>
      <c r="B12" s="7" t="n">
        <f aca="false">A12*가정!$B$10</f>
        <v>2030000</v>
      </c>
      <c r="C12" s="7" t="n">
        <f aca="false">가정!$B$34</f>
        <v>3590000</v>
      </c>
      <c r="D12" s="7" t="n">
        <f aca="false">ROUNDUP(MAX(0,A12-가정!$B$18)/가정!$B$19,0)</f>
        <v>1</v>
      </c>
      <c r="E12" s="7" t="n">
        <f aca="false">D12*가정!$B$20+ROUNDUP(A12/가정!$B$22,0)*가정!$B$21+ROUNDUP(A12/가정!$B$24,0)*가정!$B$23</f>
        <v>7900000</v>
      </c>
      <c r="F12" s="7" t="n">
        <f aca="false">A12*가정!$B$26+B12*가정!$B$27</f>
        <v>7000</v>
      </c>
      <c r="G12" s="7" t="n">
        <f aca="false">B12*가정!$B$28</f>
        <v>0</v>
      </c>
      <c r="H12" s="7" t="n">
        <f aca="false">B12-C12-E12-F12-G12</f>
        <v>-9467000</v>
      </c>
      <c r="I12" s="7" t="n">
        <f aca="false">H12-IF(가정!$B$7=1,가정!$B$5,0)</f>
        <v>-13467000</v>
      </c>
      <c r="J12" s="7" t="n">
        <f aca="false">MAX(0,I12)*가정!$B$6</f>
        <v>0</v>
      </c>
      <c r="K12" s="7" t="n">
        <f aca="false">가정!$B$5+J12</f>
        <v>4000000</v>
      </c>
      <c r="L12" s="7" t="n">
        <f aca="false">H12-K12</f>
        <v>-13467000</v>
      </c>
      <c r="M12" s="8" t="n">
        <f aca="false">IF(B12=0,0,K12/B12)</f>
        <v>1.97044334975369</v>
      </c>
      <c r="N12" s="7" t="n">
        <f aca="false">K12/가정!$B$8</f>
        <v>20000</v>
      </c>
      <c r="O12" s="7" t="str">
        <f aca="false">IF(I12&gt;0,A12,"")</f>
        <v/>
      </c>
      <c r="P12" s="7" t="str">
        <f aca="false">IF(L12&gt;=0,A12,"")</f>
        <v/>
      </c>
      <c r="Q12" s="7" t="str">
        <f aca="false">IF(K12&gt;=가정!$B$32,A12,"")</f>
        <v/>
      </c>
      <c r="R12" s="7" t="str">
        <f aca="false">IF(MAX(0,I12)*(1-가정!$B$6)*'1억 상환'!$B$6&gt;='1억 상환'!$B$5,A12,"")</f>
        <v/>
      </c>
    </row>
    <row r="13" customFormat="false" ht="15" hidden="false" customHeight="false" outlineLevel="0" collapsed="false">
      <c r="A13" s="7" t="n">
        <v>8</v>
      </c>
      <c r="B13" s="7" t="n">
        <f aca="false">A13*가정!$B$10</f>
        <v>2320000</v>
      </c>
      <c r="C13" s="7" t="n">
        <f aca="false">가정!$B$34</f>
        <v>3590000</v>
      </c>
      <c r="D13" s="7" t="n">
        <f aca="false">ROUNDUP(MAX(0,A13-가정!$B$18)/가정!$B$19,0)</f>
        <v>1</v>
      </c>
      <c r="E13" s="7" t="n">
        <f aca="false">D13*가정!$B$20+ROUNDUP(A13/가정!$B$22,0)*가정!$B$21+ROUNDUP(A13/가정!$B$24,0)*가정!$B$23</f>
        <v>7900000</v>
      </c>
      <c r="F13" s="7" t="n">
        <f aca="false">A13*가정!$B$26+B13*가정!$B$27</f>
        <v>8000</v>
      </c>
      <c r="G13" s="7" t="n">
        <f aca="false">B13*가정!$B$28</f>
        <v>0</v>
      </c>
      <c r="H13" s="7" t="n">
        <f aca="false">B13-C13-E13-F13-G13</f>
        <v>-9178000</v>
      </c>
      <c r="I13" s="7" t="n">
        <f aca="false">H13-IF(가정!$B$7=1,가정!$B$5,0)</f>
        <v>-13178000</v>
      </c>
      <c r="J13" s="7" t="n">
        <f aca="false">MAX(0,I13)*가정!$B$6</f>
        <v>0</v>
      </c>
      <c r="K13" s="7" t="n">
        <f aca="false">가정!$B$5+J13</f>
        <v>4000000</v>
      </c>
      <c r="L13" s="7" t="n">
        <f aca="false">H13-K13</f>
        <v>-13178000</v>
      </c>
      <c r="M13" s="8" t="n">
        <f aca="false">IF(B13=0,0,K13/B13)</f>
        <v>1.72413793103448</v>
      </c>
      <c r="N13" s="7" t="n">
        <f aca="false">K13/가정!$B$8</f>
        <v>20000</v>
      </c>
      <c r="O13" s="7" t="str">
        <f aca="false">IF(I13&gt;0,A13,"")</f>
        <v/>
      </c>
      <c r="P13" s="7" t="str">
        <f aca="false">IF(L13&gt;=0,A13,"")</f>
        <v/>
      </c>
      <c r="Q13" s="7" t="str">
        <f aca="false">IF(K13&gt;=가정!$B$32,A13,"")</f>
        <v/>
      </c>
      <c r="R13" s="7" t="str">
        <f aca="false">IF(MAX(0,I13)*(1-가정!$B$6)*'1억 상환'!$B$6&gt;='1억 상환'!$B$5,A13,"")</f>
        <v/>
      </c>
    </row>
    <row r="14" customFormat="false" ht="15" hidden="false" customHeight="false" outlineLevel="0" collapsed="false">
      <c r="A14" s="7" t="n">
        <v>9</v>
      </c>
      <c r="B14" s="7" t="n">
        <f aca="false">A14*가정!$B$10</f>
        <v>2610000</v>
      </c>
      <c r="C14" s="7" t="n">
        <f aca="false">가정!$B$34</f>
        <v>3590000</v>
      </c>
      <c r="D14" s="7" t="n">
        <f aca="false">ROUNDUP(MAX(0,A14-가정!$B$18)/가정!$B$19,0)</f>
        <v>1</v>
      </c>
      <c r="E14" s="7" t="n">
        <f aca="false">D14*가정!$B$20+ROUNDUP(A14/가정!$B$22,0)*가정!$B$21+ROUNDUP(A14/가정!$B$24,0)*가정!$B$23</f>
        <v>7900000</v>
      </c>
      <c r="F14" s="7" t="n">
        <f aca="false">A14*가정!$B$26+B14*가정!$B$27</f>
        <v>9000</v>
      </c>
      <c r="G14" s="7" t="n">
        <f aca="false">B14*가정!$B$28</f>
        <v>0</v>
      </c>
      <c r="H14" s="7" t="n">
        <f aca="false">B14-C14-E14-F14-G14</f>
        <v>-8889000</v>
      </c>
      <c r="I14" s="7" t="n">
        <f aca="false">H14-IF(가정!$B$7=1,가정!$B$5,0)</f>
        <v>-12889000</v>
      </c>
      <c r="J14" s="7" t="n">
        <f aca="false">MAX(0,I14)*가정!$B$6</f>
        <v>0</v>
      </c>
      <c r="K14" s="7" t="n">
        <f aca="false">가정!$B$5+J14</f>
        <v>4000000</v>
      </c>
      <c r="L14" s="7" t="n">
        <f aca="false">H14-K14</f>
        <v>-12889000</v>
      </c>
      <c r="M14" s="8" t="n">
        <f aca="false">IF(B14=0,0,K14/B14)</f>
        <v>1.53256704980843</v>
      </c>
      <c r="N14" s="7" t="n">
        <f aca="false">K14/가정!$B$8</f>
        <v>20000</v>
      </c>
      <c r="O14" s="7" t="str">
        <f aca="false">IF(I14&gt;0,A14,"")</f>
        <v/>
      </c>
      <c r="P14" s="7" t="str">
        <f aca="false">IF(L14&gt;=0,A14,"")</f>
        <v/>
      </c>
      <c r="Q14" s="7" t="str">
        <f aca="false">IF(K14&gt;=가정!$B$32,A14,"")</f>
        <v/>
      </c>
      <c r="R14" s="7" t="str">
        <f aca="false">IF(MAX(0,I14)*(1-가정!$B$6)*'1억 상환'!$B$6&gt;='1억 상환'!$B$5,A14,"")</f>
        <v/>
      </c>
    </row>
    <row r="15" customFormat="false" ht="15" hidden="false" customHeight="false" outlineLevel="0" collapsed="false">
      <c r="A15" s="7" t="n">
        <v>10</v>
      </c>
      <c r="B15" s="7" t="n">
        <f aca="false">A15*가정!$B$10</f>
        <v>2900000</v>
      </c>
      <c r="C15" s="7" t="n">
        <f aca="false">가정!$B$34</f>
        <v>3590000</v>
      </c>
      <c r="D15" s="7" t="n">
        <f aca="false">ROUNDUP(MAX(0,A15-가정!$B$18)/가정!$B$19,0)</f>
        <v>1</v>
      </c>
      <c r="E15" s="7" t="n">
        <f aca="false">D15*가정!$B$20+ROUNDUP(A15/가정!$B$22,0)*가정!$B$21+ROUNDUP(A15/가정!$B$24,0)*가정!$B$23</f>
        <v>7900000</v>
      </c>
      <c r="F15" s="7" t="n">
        <f aca="false">A15*가정!$B$26+B15*가정!$B$27</f>
        <v>10000</v>
      </c>
      <c r="G15" s="7" t="n">
        <f aca="false">B15*가정!$B$28</f>
        <v>0</v>
      </c>
      <c r="H15" s="7" t="n">
        <f aca="false">B15-C15-E15-F15-G15</f>
        <v>-8600000</v>
      </c>
      <c r="I15" s="7" t="n">
        <f aca="false">H15-IF(가정!$B$7=1,가정!$B$5,0)</f>
        <v>-12600000</v>
      </c>
      <c r="J15" s="7" t="n">
        <f aca="false">MAX(0,I15)*가정!$B$6</f>
        <v>0</v>
      </c>
      <c r="K15" s="7" t="n">
        <f aca="false">가정!$B$5+J15</f>
        <v>4000000</v>
      </c>
      <c r="L15" s="7" t="n">
        <f aca="false">H15-K15</f>
        <v>-12600000</v>
      </c>
      <c r="M15" s="8" t="n">
        <f aca="false">IF(B15=0,0,K15/B15)</f>
        <v>1.37931034482759</v>
      </c>
      <c r="N15" s="7" t="n">
        <f aca="false">K15/가정!$B$8</f>
        <v>20000</v>
      </c>
      <c r="O15" s="7" t="str">
        <f aca="false">IF(I15&gt;0,A15,"")</f>
        <v/>
      </c>
      <c r="P15" s="7" t="str">
        <f aca="false">IF(L15&gt;=0,A15,"")</f>
        <v/>
      </c>
      <c r="Q15" s="7" t="str">
        <f aca="false">IF(K15&gt;=가정!$B$32,A15,"")</f>
        <v/>
      </c>
      <c r="R15" s="7" t="str">
        <f aca="false">IF(MAX(0,I15)*(1-가정!$B$6)*'1억 상환'!$B$6&gt;='1억 상환'!$B$5,A15,"")</f>
        <v/>
      </c>
    </row>
    <row r="16" customFormat="false" ht="15" hidden="false" customHeight="false" outlineLevel="0" collapsed="false">
      <c r="A16" s="7" t="n">
        <v>11</v>
      </c>
      <c r="B16" s="7" t="n">
        <f aca="false">A16*가정!$B$10</f>
        <v>3190000</v>
      </c>
      <c r="C16" s="7" t="n">
        <f aca="false">가정!$B$34</f>
        <v>3590000</v>
      </c>
      <c r="D16" s="7" t="n">
        <f aca="false">ROUNDUP(MAX(0,A16-가정!$B$18)/가정!$B$19,0)</f>
        <v>1</v>
      </c>
      <c r="E16" s="7" t="n">
        <f aca="false">D16*가정!$B$20+ROUNDUP(A16/가정!$B$22,0)*가정!$B$21+ROUNDUP(A16/가정!$B$24,0)*가정!$B$23</f>
        <v>7900000</v>
      </c>
      <c r="F16" s="7" t="n">
        <f aca="false">A16*가정!$B$26+B16*가정!$B$27</f>
        <v>11000</v>
      </c>
      <c r="G16" s="7" t="n">
        <f aca="false">B16*가정!$B$28</f>
        <v>0</v>
      </c>
      <c r="H16" s="7" t="n">
        <f aca="false">B16-C16-E16-F16-G16</f>
        <v>-8311000</v>
      </c>
      <c r="I16" s="7" t="n">
        <f aca="false">H16-IF(가정!$B$7=1,가정!$B$5,0)</f>
        <v>-12311000</v>
      </c>
      <c r="J16" s="7" t="n">
        <f aca="false">MAX(0,I16)*가정!$B$6</f>
        <v>0</v>
      </c>
      <c r="K16" s="7" t="n">
        <f aca="false">가정!$B$5+J16</f>
        <v>4000000</v>
      </c>
      <c r="L16" s="7" t="n">
        <f aca="false">H16-K16</f>
        <v>-12311000</v>
      </c>
      <c r="M16" s="8" t="n">
        <f aca="false">IF(B16=0,0,K16/B16)</f>
        <v>1.25391849529781</v>
      </c>
      <c r="N16" s="7" t="n">
        <f aca="false">K16/가정!$B$8</f>
        <v>20000</v>
      </c>
      <c r="O16" s="7" t="str">
        <f aca="false">IF(I16&gt;0,A16,"")</f>
        <v/>
      </c>
      <c r="P16" s="7" t="str">
        <f aca="false">IF(L16&gt;=0,A16,"")</f>
        <v/>
      </c>
      <c r="Q16" s="7" t="str">
        <f aca="false">IF(K16&gt;=가정!$B$32,A16,"")</f>
        <v/>
      </c>
      <c r="R16" s="7" t="str">
        <f aca="false">IF(MAX(0,I16)*(1-가정!$B$6)*'1억 상환'!$B$6&gt;='1억 상환'!$B$5,A16,"")</f>
        <v/>
      </c>
    </row>
    <row r="17" customFormat="false" ht="15" hidden="false" customHeight="false" outlineLevel="0" collapsed="false">
      <c r="A17" s="7" t="n">
        <v>12</v>
      </c>
      <c r="B17" s="7" t="n">
        <f aca="false">A17*가정!$B$10</f>
        <v>3480000</v>
      </c>
      <c r="C17" s="7" t="n">
        <f aca="false">가정!$B$34</f>
        <v>3590000</v>
      </c>
      <c r="D17" s="7" t="n">
        <f aca="false">ROUNDUP(MAX(0,A17-가정!$B$18)/가정!$B$19,0)</f>
        <v>1</v>
      </c>
      <c r="E17" s="7" t="n">
        <f aca="false">D17*가정!$B$20+ROUNDUP(A17/가정!$B$22,0)*가정!$B$21+ROUNDUP(A17/가정!$B$24,0)*가정!$B$23</f>
        <v>7900000</v>
      </c>
      <c r="F17" s="7" t="n">
        <f aca="false">A17*가정!$B$26+B17*가정!$B$27</f>
        <v>12000</v>
      </c>
      <c r="G17" s="7" t="n">
        <f aca="false">B17*가정!$B$28</f>
        <v>0</v>
      </c>
      <c r="H17" s="7" t="n">
        <f aca="false">B17-C17-E17-F17-G17</f>
        <v>-8022000</v>
      </c>
      <c r="I17" s="7" t="n">
        <f aca="false">H17-IF(가정!$B$7=1,가정!$B$5,0)</f>
        <v>-12022000</v>
      </c>
      <c r="J17" s="7" t="n">
        <f aca="false">MAX(0,I17)*가정!$B$6</f>
        <v>0</v>
      </c>
      <c r="K17" s="7" t="n">
        <f aca="false">가정!$B$5+J17</f>
        <v>4000000</v>
      </c>
      <c r="L17" s="7" t="n">
        <f aca="false">H17-K17</f>
        <v>-12022000</v>
      </c>
      <c r="M17" s="8" t="n">
        <f aca="false">IF(B17=0,0,K17/B17)</f>
        <v>1.14942528735632</v>
      </c>
      <c r="N17" s="7" t="n">
        <f aca="false">K17/가정!$B$8</f>
        <v>20000</v>
      </c>
      <c r="O17" s="7" t="str">
        <f aca="false">IF(I17&gt;0,A17,"")</f>
        <v/>
      </c>
      <c r="P17" s="7" t="str">
        <f aca="false">IF(L17&gt;=0,A17,"")</f>
        <v/>
      </c>
      <c r="Q17" s="7" t="str">
        <f aca="false">IF(K17&gt;=가정!$B$32,A17,"")</f>
        <v/>
      </c>
      <c r="R17" s="7" t="str">
        <f aca="false">IF(MAX(0,I17)*(1-가정!$B$6)*'1억 상환'!$B$6&gt;='1억 상환'!$B$5,A17,"")</f>
        <v/>
      </c>
    </row>
    <row r="18" customFormat="false" ht="15" hidden="false" customHeight="false" outlineLevel="0" collapsed="false">
      <c r="A18" s="7" t="n">
        <v>13</v>
      </c>
      <c r="B18" s="7" t="n">
        <f aca="false">A18*가정!$B$10</f>
        <v>3770000</v>
      </c>
      <c r="C18" s="7" t="n">
        <f aca="false">가정!$B$34</f>
        <v>3590000</v>
      </c>
      <c r="D18" s="7" t="n">
        <f aca="false">ROUNDUP(MAX(0,A18-가정!$B$18)/가정!$B$19,0)</f>
        <v>1</v>
      </c>
      <c r="E18" s="7" t="n">
        <f aca="false">D18*가정!$B$20+ROUNDUP(A18/가정!$B$22,0)*가정!$B$21+ROUNDUP(A18/가정!$B$24,0)*가정!$B$23</f>
        <v>7900000</v>
      </c>
      <c r="F18" s="7" t="n">
        <f aca="false">A18*가정!$B$26+B18*가정!$B$27</f>
        <v>13000</v>
      </c>
      <c r="G18" s="7" t="n">
        <f aca="false">B18*가정!$B$28</f>
        <v>0</v>
      </c>
      <c r="H18" s="7" t="n">
        <f aca="false">B18-C18-E18-F18-G18</f>
        <v>-7733000</v>
      </c>
      <c r="I18" s="7" t="n">
        <f aca="false">H18-IF(가정!$B$7=1,가정!$B$5,0)</f>
        <v>-11733000</v>
      </c>
      <c r="J18" s="7" t="n">
        <f aca="false">MAX(0,I18)*가정!$B$6</f>
        <v>0</v>
      </c>
      <c r="K18" s="7" t="n">
        <f aca="false">가정!$B$5+J18</f>
        <v>4000000</v>
      </c>
      <c r="L18" s="7" t="n">
        <f aca="false">H18-K18</f>
        <v>-11733000</v>
      </c>
      <c r="M18" s="8" t="n">
        <f aca="false">IF(B18=0,0,K18/B18)</f>
        <v>1.06100795755968</v>
      </c>
      <c r="N18" s="7" t="n">
        <f aca="false">K18/가정!$B$8</f>
        <v>20000</v>
      </c>
      <c r="O18" s="7" t="str">
        <f aca="false">IF(I18&gt;0,A18,"")</f>
        <v/>
      </c>
      <c r="P18" s="7" t="str">
        <f aca="false">IF(L18&gt;=0,A18,"")</f>
        <v/>
      </c>
      <c r="Q18" s="7" t="str">
        <f aca="false">IF(K18&gt;=가정!$B$32,A18,"")</f>
        <v/>
      </c>
      <c r="R18" s="7" t="str">
        <f aca="false">IF(MAX(0,I18)*(1-가정!$B$6)*'1억 상환'!$B$6&gt;='1억 상환'!$B$5,A18,"")</f>
        <v/>
      </c>
    </row>
    <row r="19" customFormat="false" ht="15" hidden="false" customHeight="false" outlineLevel="0" collapsed="false">
      <c r="A19" s="7" t="n">
        <v>14</v>
      </c>
      <c r="B19" s="7" t="n">
        <f aca="false">A19*가정!$B$10</f>
        <v>4060000</v>
      </c>
      <c r="C19" s="7" t="n">
        <f aca="false">가정!$B$34</f>
        <v>3590000</v>
      </c>
      <c r="D19" s="7" t="n">
        <f aca="false">ROUNDUP(MAX(0,A19-가정!$B$18)/가정!$B$19,0)</f>
        <v>1</v>
      </c>
      <c r="E19" s="7" t="n">
        <f aca="false">D19*가정!$B$20+ROUNDUP(A19/가정!$B$22,0)*가정!$B$21+ROUNDUP(A19/가정!$B$24,0)*가정!$B$23</f>
        <v>7900000</v>
      </c>
      <c r="F19" s="7" t="n">
        <f aca="false">A19*가정!$B$26+B19*가정!$B$27</f>
        <v>14000</v>
      </c>
      <c r="G19" s="7" t="n">
        <f aca="false">B19*가정!$B$28</f>
        <v>0</v>
      </c>
      <c r="H19" s="7" t="n">
        <f aca="false">B19-C19-E19-F19-G19</f>
        <v>-7444000</v>
      </c>
      <c r="I19" s="7" t="n">
        <f aca="false">H19-IF(가정!$B$7=1,가정!$B$5,0)</f>
        <v>-11444000</v>
      </c>
      <c r="J19" s="7" t="n">
        <f aca="false">MAX(0,I19)*가정!$B$6</f>
        <v>0</v>
      </c>
      <c r="K19" s="7" t="n">
        <f aca="false">가정!$B$5+J19</f>
        <v>4000000</v>
      </c>
      <c r="L19" s="7" t="n">
        <f aca="false">H19-K19</f>
        <v>-11444000</v>
      </c>
      <c r="M19" s="8" t="n">
        <f aca="false">IF(B19=0,0,K19/B19)</f>
        <v>0.985221674876847</v>
      </c>
      <c r="N19" s="7" t="n">
        <f aca="false">K19/가정!$B$8</f>
        <v>20000</v>
      </c>
      <c r="O19" s="7" t="str">
        <f aca="false">IF(I19&gt;0,A19,"")</f>
        <v/>
      </c>
      <c r="P19" s="7" t="str">
        <f aca="false">IF(L19&gt;=0,A19,"")</f>
        <v/>
      </c>
      <c r="Q19" s="7" t="str">
        <f aca="false">IF(K19&gt;=가정!$B$32,A19,"")</f>
        <v/>
      </c>
      <c r="R19" s="7" t="str">
        <f aca="false">IF(MAX(0,I19)*(1-가정!$B$6)*'1억 상환'!$B$6&gt;='1억 상환'!$B$5,A19,"")</f>
        <v/>
      </c>
    </row>
    <row r="20" customFormat="false" ht="15" hidden="false" customHeight="false" outlineLevel="0" collapsed="false">
      <c r="A20" s="7" t="n">
        <v>15</v>
      </c>
      <c r="B20" s="7" t="n">
        <f aca="false">A20*가정!$B$10</f>
        <v>4350000</v>
      </c>
      <c r="C20" s="7" t="n">
        <f aca="false">가정!$B$34</f>
        <v>3590000</v>
      </c>
      <c r="D20" s="7" t="n">
        <f aca="false">ROUNDUP(MAX(0,A20-가정!$B$18)/가정!$B$19,0)</f>
        <v>1</v>
      </c>
      <c r="E20" s="7" t="n">
        <f aca="false">D20*가정!$B$20+ROUNDUP(A20/가정!$B$22,0)*가정!$B$21+ROUNDUP(A20/가정!$B$24,0)*가정!$B$23</f>
        <v>7900000</v>
      </c>
      <c r="F20" s="7" t="n">
        <f aca="false">A20*가정!$B$26+B20*가정!$B$27</f>
        <v>15000</v>
      </c>
      <c r="G20" s="7" t="n">
        <f aca="false">B20*가정!$B$28</f>
        <v>0</v>
      </c>
      <c r="H20" s="7" t="n">
        <f aca="false">B20-C20-E20-F20-G20</f>
        <v>-7155000</v>
      </c>
      <c r="I20" s="7" t="n">
        <f aca="false">H20-IF(가정!$B$7=1,가정!$B$5,0)</f>
        <v>-11155000</v>
      </c>
      <c r="J20" s="7" t="n">
        <f aca="false">MAX(0,I20)*가정!$B$6</f>
        <v>0</v>
      </c>
      <c r="K20" s="7" t="n">
        <f aca="false">가정!$B$5+J20</f>
        <v>4000000</v>
      </c>
      <c r="L20" s="7" t="n">
        <f aca="false">H20-K20</f>
        <v>-11155000</v>
      </c>
      <c r="M20" s="8" t="n">
        <f aca="false">IF(B20=0,0,K20/B20)</f>
        <v>0.919540229885058</v>
      </c>
      <c r="N20" s="7" t="n">
        <f aca="false">K20/가정!$B$8</f>
        <v>20000</v>
      </c>
      <c r="O20" s="7" t="str">
        <f aca="false">IF(I20&gt;0,A20,"")</f>
        <v/>
      </c>
      <c r="P20" s="7" t="str">
        <f aca="false">IF(L20&gt;=0,A20,"")</f>
        <v/>
      </c>
      <c r="Q20" s="7" t="str">
        <f aca="false">IF(K20&gt;=가정!$B$32,A20,"")</f>
        <v/>
      </c>
      <c r="R20" s="7" t="str">
        <f aca="false">IF(MAX(0,I20)*(1-가정!$B$6)*'1억 상환'!$B$6&gt;='1억 상환'!$B$5,A20,"")</f>
        <v/>
      </c>
    </row>
    <row r="21" customFormat="false" ht="15" hidden="false" customHeight="false" outlineLevel="0" collapsed="false">
      <c r="A21" s="7" t="n">
        <v>16</v>
      </c>
      <c r="B21" s="7" t="n">
        <f aca="false">A21*가정!$B$10</f>
        <v>4640000</v>
      </c>
      <c r="C21" s="7" t="n">
        <f aca="false">가정!$B$34</f>
        <v>3590000</v>
      </c>
      <c r="D21" s="7" t="n">
        <f aca="false">ROUNDUP(MAX(0,A21-가정!$B$18)/가정!$B$19,0)</f>
        <v>1</v>
      </c>
      <c r="E21" s="7" t="n">
        <f aca="false">D21*가정!$B$20+ROUNDUP(A21/가정!$B$22,0)*가정!$B$21+ROUNDUP(A21/가정!$B$24,0)*가정!$B$23</f>
        <v>7900000</v>
      </c>
      <c r="F21" s="7" t="n">
        <f aca="false">A21*가정!$B$26+B21*가정!$B$27</f>
        <v>16000</v>
      </c>
      <c r="G21" s="7" t="n">
        <f aca="false">B21*가정!$B$28</f>
        <v>0</v>
      </c>
      <c r="H21" s="7" t="n">
        <f aca="false">B21-C21-E21-F21-G21</f>
        <v>-6866000</v>
      </c>
      <c r="I21" s="7" t="n">
        <f aca="false">H21-IF(가정!$B$7=1,가정!$B$5,0)</f>
        <v>-10866000</v>
      </c>
      <c r="J21" s="7" t="n">
        <f aca="false">MAX(0,I21)*가정!$B$6</f>
        <v>0</v>
      </c>
      <c r="K21" s="7" t="n">
        <f aca="false">가정!$B$5+J21</f>
        <v>4000000</v>
      </c>
      <c r="L21" s="7" t="n">
        <f aca="false">H21-K21</f>
        <v>-10866000</v>
      </c>
      <c r="M21" s="8" t="n">
        <f aca="false">IF(B21=0,0,K21/B21)</f>
        <v>0.862068965517241</v>
      </c>
      <c r="N21" s="7" t="n">
        <f aca="false">K21/가정!$B$8</f>
        <v>20000</v>
      </c>
      <c r="O21" s="7" t="str">
        <f aca="false">IF(I21&gt;0,A21,"")</f>
        <v/>
      </c>
      <c r="P21" s="7" t="str">
        <f aca="false">IF(L21&gt;=0,A21,"")</f>
        <v/>
      </c>
      <c r="Q21" s="7" t="str">
        <f aca="false">IF(K21&gt;=가정!$B$32,A21,"")</f>
        <v/>
      </c>
      <c r="R21" s="7" t="str">
        <f aca="false">IF(MAX(0,I21)*(1-가정!$B$6)*'1억 상환'!$B$6&gt;='1억 상환'!$B$5,A21,"")</f>
        <v/>
      </c>
    </row>
    <row r="22" customFormat="false" ht="15" hidden="false" customHeight="false" outlineLevel="0" collapsed="false">
      <c r="A22" s="7" t="n">
        <v>17</v>
      </c>
      <c r="B22" s="7" t="n">
        <f aca="false">A22*가정!$B$10</f>
        <v>4930000</v>
      </c>
      <c r="C22" s="7" t="n">
        <f aca="false">가정!$B$34</f>
        <v>3590000</v>
      </c>
      <c r="D22" s="7" t="n">
        <f aca="false">ROUNDUP(MAX(0,A22-가정!$B$18)/가정!$B$19,0)</f>
        <v>1</v>
      </c>
      <c r="E22" s="7" t="n">
        <f aca="false">D22*가정!$B$20+ROUNDUP(A22/가정!$B$22,0)*가정!$B$21+ROUNDUP(A22/가정!$B$24,0)*가정!$B$23</f>
        <v>7900000</v>
      </c>
      <c r="F22" s="7" t="n">
        <f aca="false">A22*가정!$B$26+B22*가정!$B$27</f>
        <v>17000</v>
      </c>
      <c r="G22" s="7" t="n">
        <f aca="false">B22*가정!$B$28</f>
        <v>0</v>
      </c>
      <c r="H22" s="7" t="n">
        <f aca="false">B22-C22-E22-F22-G22</f>
        <v>-6577000</v>
      </c>
      <c r="I22" s="7" t="n">
        <f aca="false">H22-IF(가정!$B$7=1,가정!$B$5,0)</f>
        <v>-10577000</v>
      </c>
      <c r="J22" s="7" t="n">
        <f aca="false">MAX(0,I22)*가정!$B$6</f>
        <v>0</v>
      </c>
      <c r="K22" s="7" t="n">
        <f aca="false">가정!$B$5+J22</f>
        <v>4000000</v>
      </c>
      <c r="L22" s="7" t="n">
        <f aca="false">H22-K22</f>
        <v>-10577000</v>
      </c>
      <c r="M22" s="8" t="n">
        <f aca="false">IF(B22=0,0,K22/B22)</f>
        <v>0.811359026369168</v>
      </c>
      <c r="N22" s="7" t="n">
        <f aca="false">K22/가정!$B$8</f>
        <v>20000</v>
      </c>
      <c r="O22" s="7" t="str">
        <f aca="false">IF(I22&gt;0,A22,"")</f>
        <v/>
      </c>
      <c r="P22" s="7" t="str">
        <f aca="false">IF(L22&gt;=0,A22,"")</f>
        <v/>
      </c>
      <c r="Q22" s="7" t="str">
        <f aca="false">IF(K22&gt;=가정!$B$32,A22,"")</f>
        <v/>
      </c>
      <c r="R22" s="7" t="str">
        <f aca="false">IF(MAX(0,I22)*(1-가정!$B$6)*'1억 상환'!$B$6&gt;='1억 상환'!$B$5,A22,"")</f>
        <v/>
      </c>
    </row>
    <row r="23" customFormat="false" ht="15" hidden="false" customHeight="false" outlineLevel="0" collapsed="false">
      <c r="A23" s="7" t="n">
        <v>18</v>
      </c>
      <c r="B23" s="7" t="n">
        <f aca="false">A23*가정!$B$10</f>
        <v>5220000</v>
      </c>
      <c r="C23" s="7" t="n">
        <f aca="false">가정!$B$34</f>
        <v>3590000</v>
      </c>
      <c r="D23" s="7" t="n">
        <f aca="false">ROUNDUP(MAX(0,A23-가정!$B$18)/가정!$B$19,0)</f>
        <v>1</v>
      </c>
      <c r="E23" s="7" t="n">
        <f aca="false">D23*가정!$B$20+ROUNDUP(A23/가정!$B$22,0)*가정!$B$21+ROUNDUP(A23/가정!$B$24,0)*가정!$B$23</f>
        <v>7900000</v>
      </c>
      <c r="F23" s="7" t="n">
        <f aca="false">A23*가정!$B$26+B23*가정!$B$27</f>
        <v>18000</v>
      </c>
      <c r="G23" s="7" t="n">
        <f aca="false">B23*가정!$B$28</f>
        <v>0</v>
      </c>
      <c r="H23" s="7" t="n">
        <f aca="false">B23-C23-E23-F23-G23</f>
        <v>-6288000</v>
      </c>
      <c r="I23" s="7" t="n">
        <f aca="false">H23-IF(가정!$B$7=1,가정!$B$5,0)</f>
        <v>-10288000</v>
      </c>
      <c r="J23" s="7" t="n">
        <f aca="false">MAX(0,I23)*가정!$B$6</f>
        <v>0</v>
      </c>
      <c r="K23" s="7" t="n">
        <f aca="false">가정!$B$5+J23</f>
        <v>4000000</v>
      </c>
      <c r="L23" s="7" t="n">
        <f aca="false">H23-K23</f>
        <v>-10288000</v>
      </c>
      <c r="M23" s="8" t="n">
        <f aca="false">IF(B23=0,0,K23/B23)</f>
        <v>0.766283524904215</v>
      </c>
      <c r="N23" s="7" t="n">
        <f aca="false">K23/가정!$B$8</f>
        <v>20000</v>
      </c>
      <c r="O23" s="7" t="str">
        <f aca="false">IF(I23&gt;0,A23,"")</f>
        <v/>
      </c>
      <c r="P23" s="7" t="str">
        <f aca="false">IF(L23&gt;=0,A23,"")</f>
        <v/>
      </c>
      <c r="Q23" s="7" t="str">
        <f aca="false">IF(K23&gt;=가정!$B$32,A23,"")</f>
        <v/>
      </c>
      <c r="R23" s="7" t="str">
        <f aca="false">IF(MAX(0,I23)*(1-가정!$B$6)*'1억 상환'!$B$6&gt;='1억 상환'!$B$5,A23,"")</f>
        <v/>
      </c>
    </row>
    <row r="24" customFormat="false" ht="15" hidden="false" customHeight="false" outlineLevel="0" collapsed="false">
      <c r="A24" s="7" t="n">
        <v>19</v>
      </c>
      <c r="B24" s="7" t="n">
        <f aca="false">A24*가정!$B$10</f>
        <v>5510000</v>
      </c>
      <c r="C24" s="7" t="n">
        <f aca="false">가정!$B$34</f>
        <v>3590000</v>
      </c>
      <c r="D24" s="7" t="n">
        <f aca="false">ROUNDUP(MAX(0,A24-가정!$B$18)/가정!$B$19,0)</f>
        <v>1</v>
      </c>
      <c r="E24" s="7" t="n">
        <f aca="false">D24*가정!$B$20+ROUNDUP(A24/가정!$B$22,0)*가정!$B$21+ROUNDUP(A24/가정!$B$24,0)*가정!$B$23</f>
        <v>7900000</v>
      </c>
      <c r="F24" s="7" t="n">
        <f aca="false">A24*가정!$B$26+B24*가정!$B$27</f>
        <v>19000</v>
      </c>
      <c r="G24" s="7" t="n">
        <f aca="false">B24*가정!$B$28</f>
        <v>0</v>
      </c>
      <c r="H24" s="7" t="n">
        <f aca="false">B24-C24-E24-F24-G24</f>
        <v>-5999000</v>
      </c>
      <c r="I24" s="7" t="n">
        <f aca="false">H24-IF(가정!$B$7=1,가정!$B$5,0)</f>
        <v>-9999000</v>
      </c>
      <c r="J24" s="7" t="n">
        <f aca="false">MAX(0,I24)*가정!$B$6</f>
        <v>0</v>
      </c>
      <c r="K24" s="7" t="n">
        <f aca="false">가정!$B$5+J24</f>
        <v>4000000</v>
      </c>
      <c r="L24" s="7" t="n">
        <f aca="false">H24-K24</f>
        <v>-9999000</v>
      </c>
      <c r="M24" s="8" t="n">
        <f aca="false">IF(B24=0,0,K24/B24)</f>
        <v>0.725952813067151</v>
      </c>
      <c r="N24" s="7" t="n">
        <f aca="false">K24/가정!$B$8</f>
        <v>20000</v>
      </c>
      <c r="O24" s="7" t="str">
        <f aca="false">IF(I24&gt;0,A24,"")</f>
        <v/>
      </c>
      <c r="P24" s="7" t="str">
        <f aca="false">IF(L24&gt;=0,A24,"")</f>
        <v/>
      </c>
      <c r="Q24" s="7" t="str">
        <f aca="false">IF(K24&gt;=가정!$B$32,A24,"")</f>
        <v/>
      </c>
      <c r="R24" s="7" t="str">
        <f aca="false">IF(MAX(0,I24)*(1-가정!$B$6)*'1억 상환'!$B$6&gt;='1억 상환'!$B$5,A24,"")</f>
        <v/>
      </c>
    </row>
    <row r="25" customFormat="false" ht="15" hidden="false" customHeight="false" outlineLevel="0" collapsed="false">
      <c r="A25" s="7" t="n">
        <v>20</v>
      </c>
      <c r="B25" s="7" t="n">
        <f aca="false">A25*가정!$B$10</f>
        <v>5800000</v>
      </c>
      <c r="C25" s="7" t="n">
        <f aca="false">가정!$B$34</f>
        <v>3590000</v>
      </c>
      <c r="D25" s="7" t="n">
        <f aca="false">ROUNDUP(MAX(0,A25-가정!$B$18)/가정!$B$19,0)</f>
        <v>1</v>
      </c>
      <c r="E25" s="7" t="n">
        <f aca="false">D25*가정!$B$20+ROUNDUP(A25/가정!$B$22,0)*가정!$B$21+ROUNDUP(A25/가정!$B$24,0)*가정!$B$23</f>
        <v>7900000</v>
      </c>
      <c r="F25" s="7" t="n">
        <f aca="false">A25*가정!$B$26+B25*가정!$B$27</f>
        <v>20000</v>
      </c>
      <c r="G25" s="7" t="n">
        <f aca="false">B25*가정!$B$28</f>
        <v>0</v>
      </c>
      <c r="H25" s="7" t="n">
        <f aca="false">B25-C25-E25-F25-G25</f>
        <v>-5710000</v>
      </c>
      <c r="I25" s="7" t="n">
        <f aca="false">H25-IF(가정!$B$7=1,가정!$B$5,0)</f>
        <v>-9710000</v>
      </c>
      <c r="J25" s="7" t="n">
        <f aca="false">MAX(0,I25)*가정!$B$6</f>
        <v>0</v>
      </c>
      <c r="K25" s="7" t="n">
        <f aca="false">가정!$B$5+J25</f>
        <v>4000000</v>
      </c>
      <c r="L25" s="7" t="n">
        <f aca="false">H25-K25</f>
        <v>-9710000</v>
      </c>
      <c r="M25" s="8" t="n">
        <f aca="false">IF(B25=0,0,K25/B25)</f>
        <v>0.689655172413793</v>
      </c>
      <c r="N25" s="7" t="n">
        <f aca="false">K25/가정!$B$8</f>
        <v>20000</v>
      </c>
      <c r="O25" s="7" t="str">
        <f aca="false">IF(I25&gt;0,A25,"")</f>
        <v/>
      </c>
      <c r="P25" s="7" t="str">
        <f aca="false">IF(L25&gt;=0,A25,"")</f>
        <v/>
      </c>
      <c r="Q25" s="7" t="str">
        <f aca="false">IF(K25&gt;=가정!$B$32,A25,"")</f>
        <v/>
      </c>
      <c r="R25" s="7" t="str">
        <f aca="false">IF(MAX(0,I25)*(1-가정!$B$6)*'1억 상환'!$B$6&gt;='1억 상환'!$B$5,A25,"")</f>
        <v/>
      </c>
    </row>
    <row r="26" customFormat="false" ht="15" hidden="false" customHeight="false" outlineLevel="0" collapsed="false">
      <c r="A26" s="7" t="n">
        <v>21</v>
      </c>
      <c r="B26" s="7" t="n">
        <f aca="false">A26*가정!$B$10</f>
        <v>6090000</v>
      </c>
      <c r="C26" s="7" t="n">
        <f aca="false">가정!$B$34</f>
        <v>3590000</v>
      </c>
      <c r="D26" s="7" t="n">
        <f aca="false">ROUNDUP(MAX(0,A26-가정!$B$18)/가정!$B$19,0)</f>
        <v>1</v>
      </c>
      <c r="E26" s="7" t="n">
        <f aca="false">D26*가정!$B$20+ROUNDUP(A26/가정!$B$22,0)*가정!$B$21+ROUNDUP(A26/가정!$B$24,0)*가정!$B$23</f>
        <v>7900000</v>
      </c>
      <c r="F26" s="7" t="n">
        <f aca="false">A26*가정!$B$26+B26*가정!$B$27</f>
        <v>21000</v>
      </c>
      <c r="G26" s="7" t="n">
        <f aca="false">B26*가정!$B$28</f>
        <v>0</v>
      </c>
      <c r="H26" s="7" t="n">
        <f aca="false">B26-C26-E26-F26-G26</f>
        <v>-5421000</v>
      </c>
      <c r="I26" s="7" t="n">
        <f aca="false">H26-IF(가정!$B$7=1,가정!$B$5,0)</f>
        <v>-9421000</v>
      </c>
      <c r="J26" s="7" t="n">
        <f aca="false">MAX(0,I26)*가정!$B$6</f>
        <v>0</v>
      </c>
      <c r="K26" s="7" t="n">
        <f aca="false">가정!$B$5+J26</f>
        <v>4000000</v>
      </c>
      <c r="L26" s="7" t="n">
        <f aca="false">H26-K26</f>
        <v>-9421000</v>
      </c>
      <c r="M26" s="8" t="n">
        <f aca="false">IF(B26=0,0,K26/B26)</f>
        <v>0.656814449917898</v>
      </c>
      <c r="N26" s="7" t="n">
        <f aca="false">K26/가정!$B$8</f>
        <v>20000</v>
      </c>
      <c r="O26" s="7" t="str">
        <f aca="false">IF(I26&gt;0,A26,"")</f>
        <v/>
      </c>
      <c r="P26" s="7" t="str">
        <f aca="false">IF(L26&gt;=0,A26,"")</f>
        <v/>
      </c>
      <c r="Q26" s="7" t="str">
        <f aca="false">IF(K26&gt;=가정!$B$32,A26,"")</f>
        <v/>
      </c>
      <c r="R26" s="7" t="str">
        <f aca="false">IF(MAX(0,I26)*(1-가정!$B$6)*'1억 상환'!$B$6&gt;='1억 상환'!$B$5,A26,"")</f>
        <v/>
      </c>
    </row>
    <row r="27" customFormat="false" ht="15" hidden="false" customHeight="false" outlineLevel="0" collapsed="false">
      <c r="A27" s="7" t="n">
        <v>22</v>
      </c>
      <c r="B27" s="7" t="n">
        <f aca="false">A27*가정!$B$10</f>
        <v>6380000</v>
      </c>
      <c r="C27" s="7" t="n">
        <f aca="false">가정!$B$34</f>
        <v>3590000</v>
      </c>
      <c r="D27" s="7" t="n">
        <f aca="false">ROUNDUP(MAX(0,A27-가정!$B$18)/가정!$B$19,0)</f>
        <v>1</v>
      </c>
      <c r="E27" s="7" t="n">
        <f aca="false">D27*가정!$B$20+ROUNDUP(A27/가정!$B$22,0)*가정!$B$21+ROUNDUP(A27/가정!$B$24,0)*가정!$B$23</f>
        <v>7900000</v>
      </c>
      <c r="F27" s="7" t="n">
        <f aca="false">A27*가정!$B$26+B27*가정!$B$27</f>
        <v>22000</v>
      </c>
      <c r="G27" s="7" t="n">
        <f aca="false">B27*가정!$B$28</f>
        <v>0</v>
      </c>
      <c r="H27" s="7" t="n">
        <f aca="false">B27-C27-E27-F27-G27</f>
        <v>-5132000</v>
      </c>
      <c r="I27" s="7" t="n">
        <f aca="false">H27-IF(가정!$B$7=1,가정!$B$5,0)</f>
        <v>-9132000</v>
      </c>
      <c r="J27" s="7" t="n">
        <f aca="false">MAX(0,I27)*가정!$B$6</f>
        <v>0</v>
      </c>
      <c r="K27" s="7" t="n">
        <f aca="false">가정!$B$5+J27</f>
        <v>4000000</v>
      </c>
      <c r="L27" s="7" t="n">
        <f aca="false">H27-K27</f>
        <v>-9132000</v>
      </c>
      <c r="M27" s="8" t="n">
        <f aca="false">IF(B27=0,0,K27/B27)</f>
        <v>0.626959247648903</v>
      </c>
      <c r="N27" s="7" t="n">
        <f aca="false">K27/가정!$B$8</f>
        <v>20000</v>
      </c>
      <c r="O27" s="7" t="str">
        <f aca="false">IF(I27&gt;0,A27,"")</f>
        <v/>
      </c>
      <c r="P27" s="7" t="str">
        <f aca="false">IF(L27&gt;=0,A27,"")</f>
        <v/>
      </c>
      <c r="Q27" s="7" t="str">
        <f aca="false">IF(K27&gt;=가정!$B$32,A27,"")</f>
        <v/>
      </c>
      <c r="R27" s="7" t="str">
        <f aca="false">IF(MAX(0,I27)*(1-가정!$B$6)*'1억 상환'!$B$6&gt;='1억 상환'!$B$5,A27,"")</f>
        <v/>
      </c>
    </row>
    <row r="28" customFormat="false" ht="15" hidden="false" customHeight="false" outlineLevel="0" collapsed="false">
      <c r="A28" s="7" t="n">
        <v>23</v>
      </c>
      <c r="B28" s="7" t="n">
        <f aca="false">A28*가정!$B$10</f>
        <v>6670000</v>
      </c>
      <c r="C28" s="7" t="n">
        <f aca="false">가정!$B$34</f>
        <v>3590000</v>
      </c>
      <c r="D28" s="7" t="n">
        <f aca="false">ROUNDUP(MAX(0,A28-가정!$B$18)/가정!$B$19,0)</f>
        <v>1</v>
      </c>
      <c r="E28" s="7" t="n">
        <f aca="false">D28*가정!$B$20+ROUNDUP(A28/가정!$B$22,0)*가정!$B$21+ROUNDUP(A28/가정!$B$24,0)*가정!$B$23</f>
        <v>7900000</v>
      </c>
      <c r="F28" s="7" t="n">
        <f aca="false">A28*가정!$B$26+B28*가정!$B$27</f>
        <v>23000</v>
      </c>
      <c r="G28" s="7" t="n">
        <f aca="false">B28*가정!$B$28</f>
        <v>0</v>
      </c>
      <c r="H28" s="7" t="n">
        <f aca="false">B28-C28-E28-F28-G28</f>
        <v>-4843000</v>
      </c>
      <c r="I28" s="7" t="n">
        <f aca="false">H28-IF(가정!$B$7=1,가정!$B$5,0)</f>
        <v>-8843000</v>
      </c>
      <c r="J28" s="7" t="n">
        <f aca="false">MAX(0,I28)*가정!$B$6</f>
        <v>0</v>
      </c>
      <c r="K28" s="7" t="n">
        <f aca="false">가정!$B$5+J28</f>
        <v>4000000</v>
      </c>
      <c r="L28" s="7" t="n">
        <f aca="false">H28-K28</f>
        <v>-8843000</v>
      </c>
      <c r="M28" s="8" t="n">
        <f aca="false">IF(B28=0,0,K28/B28)</f>
        <v>0.599700149925038</v>
      </c>
      <c r="N28" s="7" t="n">
        <f aca="false">K28/가정!$B$8</f>
        <v>20000</v>
      </c>
      <c r="O28" s="7" t="str">
        <f aca="false">IF(I28&gt;0,A28,"")</f>
        <v/>
      </c>
      <c r="P28" s="7" t="str">
        <f aca="false">IF(L28&gt;=0,A28,"")</f>
        <v/>
      </c>
      <c r="Q28" s="7" t="str">
        <f aca="false">IF(K28&gt;=가정!$B$32,A28,"")</f>
        <v/>
      </c>
      <c r="R28" s="7" t="str">
        <f aca="false">IF(MAX(0,I28)*(1-가정!$B$6)*'1억 상환'!$B$6&gt;='1억 상환'!$B$5,A28,"")</f>
        <v/>
      </c>
    </row>
    <row r="29" customFormat="false" ht="15" hidden="false" customHeight="false" outlineLevel="0" collapsed="false">
      <c r="A29" s="7" t="n">
        <v>24</v>
      </c>
      <c r="B29" s="7" t="n">
        <f aca="false">A29*가정!$B$10</f>
        <v>6960000</v>
      </c>
      <c r="C29" s="7" t="n">
        <f aca="false">가정!$B$34</f>
        <v>3590000</v>
      </c>
      <c r="D29" s="7" t="n">
        <f aca="false">ROUNDUP(MAX(0,A29-가정!$B$18)/가정!$B$19,0)</f>
        <v>1</v>
      </c>
      <c r="E29" s="7" t="n">
        <f aca="false">D29*가정!$B$20+ROUNDUP(A29/가정!$B$22,0)*가정!$B$21+ROUNDUP(A29/가정!$B$24,0)*가정!$B$23</f>
        <v>7900000</v>
      </c>
      <c r="F29" s="7" t="n">
        <f aca="false">A29*가정!$B$26+B29*가정!$B$27</f>
        <v>24000</v>
      </c>
      <c r="G29" s="7" t="n">
        <f aca="false">B29*가정!$B$28</f>
        <v>0</v>
      </c>
      <c r="H29" s="7" t="n">
        <f aca="false">B29-C29-E29-F29-G29</f>
        <v>-4554000</v>
      </c>
      <c r="I29" s="7" t="n">
        <f aca="false">H29-IF(가정!$B$7=1,가정!$B$5,0)</f>
        <v>-8554000</v>
      </c>
      <c r="J29" s="7" t="n">
        <f aca="false">MAX(0,I29)*가정!$B$6</f>
        <v>0</v>
      </c>
      <c r="K29" s="7" t="n">
        <f aca="false">가정!$B$5+J29</f>
        <v>4000000</v>
      </c>
      <c r="L29" s="7" t="n">
        <f aca="false">H29-K29</f>
        <v>-8554000</v>
      </c>
      <c r="M29" s="8" t="n">
        <f aca="false">IF(B29=0,0,K29/B29)</f>
        <v>0.574712643678161</v>
      </c>
      <c r="N29" s="7" t="n">
        <f aca="false">K29/가정!$B$8</f>
        <v>20000</v>
      </c>
      <c r="O29" s="7" t="str">
        <f aca="false">IF(I29&gt;0,A29,"")</f>
        <v/>
      </c>
      <c r="P29" s="7" t="str">
        <f aca="false">IF(L29&gt;=0,A29,"")</f>
        <v/>
      </c>
      <c r="Q29" s="7" t="str">
        <f aca="false">IF(K29&gt;=가정!$B$32,A29,"")</f>
        <v/>
      </c>
      <c r="R29" s="7" t="str">
        <f aca="false">IF(MAX(0,I29)*(1-가정!$B$6)*'1억 상환'!$B$6&gt;='1억 상환'!$B$5,A29,"")</f>
        <v/>
      </c>
    </row>
    <row r="30" customFormat="false" ht="15" hidden="false" customHeight="false" outlineLevel="0" collapsed="false">
      <c r="A30" s="7" t="n">
        <v>25</v>
      </c>
      <c r="B30" s="7" t="n">
        <f aca="false">A30*가정!$B$10</f>
        <v>7250000</v>
      </c>
      <c r="C30" s="7" t="n">
        <f aca="false">가정!$B$34</f>
        <v>3590000</v>
      </c>
      <c r="D30" s="7" t="n">
        <f aca="false">ROUNDUP(MAX(0,A30-가정!$B$18)/가정!$B$19,0)</f>
        <v>1</v>
      </c>
      <c r="E30" s="7" t="n">
        <f aca="false">D30*가정!$B$20+ROUNDUP(A30/가정!$B$22,0)*가정!$B$21+ROUNDUP(A30/가정!$B$24,0)*가정!$B$23</f>
        <v>7900000</v>
      </c>
      <c r="F30" s="7" t="n">
        <f aca="false">A30*가정!$B$26+B30*가정!$B$27</f>
        <v>25000</v>
      </c>
      <c r="G30" s="7" t="n">
        <f aca="false">B30*가정!$B$28</f>
        <v>0</v>
      </c>
      <c r="H30" s="7" t="n">
        <f aca="false">B30-C30-E30-F30-G30</f>
        <v>-4265000</v>
      </c>
      <c r="I30" s="7" t="n">
        <f aca="false">H30-IF(가정!$B$7=1,가정!$B$5,0)</f>
        <v>-8265000</v>
      </c>
      <c r="J30" s="7" t="n">
        <f aca="false">MAX(0,I30)*가정!$B$6</f>
        <v>0</v>
      </c>
      <c r="K30" s="7" t="n">
        <f aca="false">가정!$B$5+J30</f>
        <v>4000000</v>
      </c>
      <c r="L30" s="7" t="n">
        <f aca="false">H30-K30</f>
        <v>-8265000</v>
      </c>
      <c r="M30" s="8" t="n">
        <f aca="false">IF(B30=0,0,K30/B30)</f>
        <v>0.551724137931035</v>
      </c>
      <c r="N30" s="7" t="n">
        <f aca="false">K30/가정!$B$8</f>
        <v>20000</v>
      </c>
      <c r="O30" s="7" t="str">
        <f aca="false">IF(I30&gt;0,A30,"")</f>
        <v/>
      </c>
      <c r="P30" s="7" t="str">
        <f aca="false">IF(L30&gt;=0,A30,"")</f>
        <v/>
      </c>
      <c r="Q30" s="7" t="str">
        <f aca="false">IF(K30&gt;=가정!$B$32,A30,"")</f>
        <v/>
      </c>
      <c r="R30" s="7" t="str">
        <f aca="false">IF(MAX(0,I30)*(1-가정!$B$6)*'1억 상환'!$B$6&gt;='1억 상환'!$B$5,A30,"")</f>
        <v/>
      </c>
    </row>
    <row r="31" customFormat="false" ht="15" hidden="false" customHeight="false" outlineLevel="0" collapsed="false">
      <c r="A31" s="7" t="n">
        <v>26</v>
      </c>
      <c r="B31" s="7" t="n">
        <f aca="false">A31*가정!$B$10</f>
        <v>7540000</v>
      </c>
      <c r="C31" s="7" t="n">
        <f aca="false">가정!$B$34</f>
        <v>3590000</v>
      </c>
      <c r="D31" s="7" t="n">
        <f aca="false">ROUNDUP(MAX(0,A31-가정!$B$18)/가정!$B$19,0)</f>
        <v>1</v>
      </c>
      <c r="E31" s="7" t="n">
        <f aca="false">D31*가정!$B$20+ROUNDUP(A31/가정!$B$22,0)*가정!$B$21+ROUNDUP(A31/가정!$B$24,0)*가정!$B$23</f>
        <v>7900000</v>
      </c>
      <c r="F31" s="7" t="n">
        <f aca="false">A31*가정!$B$26+B31*가정!$B$27</f>
        <v>26000</v>
      </c>
      <c r="G31" s="7" t="n">
        <f aca="false">B31*가정!$B$28</f>
        <v>0</v>
      </c>
      <c r="H31" s="7" t="n">
        <f aca="false">B31-C31-E31-F31-G31</f>
        <v>-3976000</v>
      </c>
      <c r="I31" s="7" t="n">
        <f aca="false">H31-IF(가정!$B$7=1,가정!$B$5,0)</f>
        <v>-7976000</v>
      </c>
      <c r="J31" s="7" t="n">
        <f aca="false">MAX(0,I31)*가정!$B$6</f>
        <v>0</v>
      </c>
      <c r="K31" s="7" t="n">
        <f aca="false">가정!$B$5+J31</f>
        <v>4000000</v>
      </c>
      <c r="L31" s="7" t="n">
        <f aca="false">H31-K31</f>
        <v>-7976000</v>
      </c>
      <c r="M31" s="8" t="n">
        <f aca="false">IF(B31=0,0,K31/B31)</f>
        <v>0.530503978779841</v>
      </c>
      <c r="N31" s="7" t="n">
        <f aca="false">K31/가정!$B$8</f>
        <v>20000</v>
      </c>
      <c r="O31" s="7" t="str">
        <f aca="false">IF(I31&gt;0,A31,"")</f>
        <v/>
      </c>
      <c r="P31" s="7" t="str">
        <f aca="false">IF(L31&gt;=0,A31,"")</f>
        <v/>
      </c>
      <c r="Q31" s="7" t="str">
        <f aca="false">IF(K31&gt;=가정!$B$32,A31,"")</f>
        <v/>
      </c>
      <c r="R31" s="7" t="str">
        <f aca="false">IF(MAX(0,I31)*(1-가정!$B$6)*'1억 상환'!$B$6&gt;='1억 상환'!$B$5,A31,"")</f>
        <v/>
      </c>
    </row>
    <row r="32" customFormat="false" ht="15" hidden="false" customHeight="false" outlineLevel="0" collapsed="false">
      <c r="A32" s="7" t="n">
        <v>27</v>
      </c>
      <c r="B32" s="7" t="n">
        <f aca="false">A32*가정!$B$10</f>
        <v>7830000</v>
      </c>
      <c r="C32" s="7" t="n">
        <f aca="false">가정!$B$34</f>
        <v>3590000</v>
      </c>
      <c r="D32" s="7" t="n">
        <f aca="false">ROUNDUP(MAX(0,A32-가정!$B$18)/가정!$B$19,0)</f>
        <v>1</v>
      </c>
      <c r="E32" s="7" t="n">
        <f aca="false">D32*가정!$B$20+ROUNDUP(A32/가정!$B$22,0)*가정!$B$21+ROUNDUP(A32/가정!$B$24,0)*가정!$B$23</f>
        <v>7900000</v>
      </c>
      <c r="F32" s="7" t="n">
        <f aca="false">A32*가정!$B$26+B32*가정!$B$27</f>
        <v>27000</v>
      </c>
      <c r="G32" s="7" t="n">
        <f aca="false">B32*가정!$B$28</f>
        <v>0</v>
      </c>
      <c r="H32" s="7" t="n">
        <f aca="false">B32-C32-E32-F32-G32</f>
        <v>-3687000</v>
      </c>
      <c r="I32" s="7" t="n">
        <f aca="false">H32-IF(가정!$B$7=1,가정!$B$5,0)</f>
        <v>-7687000</v>
      </c>
      <c r="J32" s="7" t="n">
        <f aca="false">MAX(0,I32)*가정!$B$6</f>
        <v>0</v>
      </c>
      <c r="K32" s="7" t="n">
        <f aca="false">가정!$B$5+J32</f>
        <v>4000000</v>
      </c>
      <c r="L32" s="7" t="n">
        <f aca="false">H32-K32</f>
        <v>-7687000</v>
      </c>
      <c r="M32" s="8" t="n">
        <f aca="false">IF(B32=0,0,K32/B32)</f>
        <v>0.510855683269476</v>
      </c>
      <c r="N32" s="7" t="n">
        <f aca="false">K32/가정!$B$8</f>
        <v>20000</v>
      </c>
      <c r="O32" s="7" t="str">
        <f aca="false">IF(I32&gt;0,A32,"")</f>
        <v/>
      </c>
      <c r="P32" s="7" t="str">
        <f aca="false">IF(L32&gt;=0,A32,"")</f>
        <v/>
      </c>
      <c r="Q32" s="7" t="str">
        <f aca="false">IF(K32&gt;=가정!$B$32,A32,"")</f>
        <v/>
      </c>
      <c r="R32" s="7" t="str">
        <f aca="false">IF(MAX(0,I32)*(1-가정!$B$6)*'1억 상환'!$B$6&gt;='1억 상환'!$B$5,A32,"")</f>
        <v/>
      </c>
    </row>
    <row r="33" customFormat="false" ht="15" hidden="false" customHeight="false" outlineLevel="0" collapsed="false">
      <c r="A33" s="7" t="n">
        <v>28</v>
      </c>
      <c r="B33" s="7" t="n">
        <f aca="false">A33*가정!$B$10</f>
        <v>8120000</v>
      </c>
      <c r="C33" s="7" t="n">
        <f aca="false">가정!$B$34</f>
        <v>3590000</v>
      </c>
      <c r="D33" s="7" t="n">
        <f aca="false">ROUNDUP(MAX(0,A33-가정!$B$18)/가정!$B$19,0)</f>
        <v>1</v>
      </c>
      <c r="E33" s="7" t="n">
        <f aca="false">D33*가정!$B$20+ROUNDUP(A33/가정!$B$22,0)*가정!$B$21+ROUNDUP(A33/가정!$B$24,0)*가정!$B$23</f>
        <v>7900000</v>
      </c>
      <c r="F33" s="7" t="n">
        <f aca="false">A33*가정!$B$26+B33*가정!$B$27</f>
        <v>28000</v>
      </c>
      <c r="G33" s="7" t="n">
        <f aca="false">B33*가정!$B$28</f>
        <v>0</v>
      </c>
      <c r="H33" s="7" t="n">
        <f aca="false">B33-C33-E33-F33-G33</f>
        <v>-3398000</v>
      </c>
      <c r="I33" s="7" t="n">
        <f aca="false">H33-IF(가정!$B$7=1,가정!$B$5,0)</f>
        <v>-7398000</v>
      </c>
      <c r="J33" s="7" t="n">
        <f aca="false">MAX(0,I33)*가정!$B$6</f>
        <v>0</v>
      </c>
      <c r="K33" s="7" t="n">
        <f aca="false">가정!$B$5+J33</f>
        <v>4000000</v>
      </c>
      <c r="L33" s="7" t="n">
        <f aca="false">H33-K33</f>
        <v>-7398000</v>
      </c>
      <c r="M33" s="8" t="n">
        <f aca="false">IF(B33=0,0,K33/B33)</f>
        <v>0.492610837438424</v>
      </c>
      <c r="N33" s="7" t="n">
        <f aca="false">K33/가정!$B$8</f>
        <v>20000</v>
      </c>
      <c r="O33" s="7" t="str">
        <f aca="false">IF(I33&gt;0,A33,"")</f>
        <v/>
      </c>
      <c r="P33" s="7" t="str">
        <f aca="false">IF(L33&gt;=0,A33,"")</f>
        <v/>
      </c>
      <c r="Q33" s="7" t="str">
        <f aca="false">IF(K33&gt;=가정!$B$32,A33,"")</f>
        <v/>
      </c>
      <c r="R33" s="7" t="str">
        <f aca="false">IF(MAX(0,I33)*(1-가정!$B$6)*'1억 상환'!$B$6&gt;='1억 상환'!$B$5,A33,"")</f>
        <v/>
      </c>
    </row>
    <row r="34" customFormat="false" ht="15" hidden="false" customHeight="false" outlineLevel="0" collapsed="false">
      <c r="A34" s="7" t="n">
        <v>29</v>
      </c>
      <c r="B34" s="7" t="n">
        <f aca="false">A34*가정!$B$10</f>
        <v>8410000</v>
      </c>
      <c r="C34" s="7" t="n">
        <f aca="false">가정!$B$34</f>
        <v>3590000</v>
      </c>
      <c r="D34" s="7" t="n">
        <f aca="false">ROUNDUP(MAX(0,A34-가정!$B$18)/가정!$B$19,0)</f>
        <v>1</v>
      </c>
      <c r="E34" s="7" t="n">
        <f aca="false">D34*가정!$B$20+ROUNDUP(A34/가정!$B$22,0)*가정!$B$21+ROUNDUP(A34/가정!$B$24,0)*가정!$B$23</f>
        <v>7900000</v>
      </c>
      <c r="F34" s="7" t="n">
        <f aca="false">A34*가정!$B$26+B34*가정!$B$27</f>
        <v>29000</v>
      </c>
      <c r="G34" s="7" t="n">
        <f aca="false">B34*가정!$B$28</f>
        <v>0</v>
      </c>
      <c r="H34" s="7" t="n">
        <f aca="false">B34-C34-E34-F34-G34</f>
        <v>-3109000</v>
      </c>
      <c r="I34" s="7" t="n">
        <f aca="false">H34-IF(가정!$B$7=1,가정!$B$5,0)</f>
        <v>-7109000</v>
      </c>
      <c r="J34" s="7" t="n">
        <f aca="false">MAX(0,I34)*가정!$B$6</f>
        <v>0</v>
      </c>
      <c r="K34" s="7" t="n">
        <f aca="false">가정!$B$5+J34</f>
        <v>4000000</v>
      </c>
      <c r="L34" s="7" t="n">
        <f aca="false">H34-K34</f>
        <v>-7109000</v>
      </c>
      <c r="M34" s="8" t="n">
        <f aca="false">IF(B34=0,0,K34/B34)</f>
        <v>0.475624256837099</v>
      </c>
      <c r="N34" s="7" t="n">
        <f aca="false">K34/가정!$B$8</f>
        <v>20000</v>
      </c>
      <c r="O34" s="7" t="str">
        <f aca="false">IF(I34&gt;0,A34,"")</f>
        <v/>
      </c>
      <c r="P34" s="7" t="str">
        <f aca="false">IF(L34&gt;=0,A34,"")</f>
        <v/>
      </c>
      <c r="Q34" s="7" t="str">
        <f aca="false">IF(K34&gt;=가정!$B$32,A34,"")</f>
        <v/>
      </c>
      <c r="R34" s="7" t="str">
        <f aca="false">IF(MAX(0,I34)*(1-가정!$B$6)*'1억 상환'!$B$6&gt;='1억 상환'!$B$5,A34,"")</f>
        <v/>
      </c>
    </row>
    <row r="35" customFormat="false" ht="15" hidden="false" customHeight="false" outlineLevel="0" collapsed="false">
      <c r="A35" s="7" t="n">
        <v>30</v>
      </c>
      <c r="B35" s="7" t="n">
        <f aca="false">A35*가정!$B$10</f>
        <v>8700000</v>
      </c>
      <c r="C35" s="7" t="n">
        <f aca="false">가정!$B$34</f>
        <v>3590000</v>
      </c>
      <c r="D35" s="7" t="n">
        <f aca="false">ROUNDUP(MAX(0,A35-가정!$B$18)/가정!$B$19,0)</f>
        <v>1</v>
      </c>
      <c r="E35" s="7" t="n">
        <f aca="false">D35*가정!$B$20+ROUNDUP(A35/가정!$B$22,0)*가정!$B$21+ROUNDUP(A35/가정!$B$24,0)*가정!$B$23</f>
        <v>7900000</v>
      </c>
      <c r="F35" s="7" t="n">
        <f aca="false">A35*가정!$B$26+B35*가정!$B$27</f>
        <v>30000</v>
      </c>
      <c r="G35" s="7" t="n">
        <f aca="false">B35*가정!$B$28</f>
        <v>0</v>
      </c>
      <c r="H35" s="7" t="n">
        <f aca="false">B35-C35-E35-F35-G35</f>
        <v>-2820000</v>
      </c>
      <c r="I35" s="7" t="n">
        <f aca="false">H35-IF(가정!$B$7=1,가정!$B$5,0)</f>
        <v>-6820000</v>
      </c>
      <c r="J35" s="7" t="n">
        <f aca="false">MAX(0,I35)*가정!$B$6</f>
        <v>0</v>
      </c>
      <c r="K35" s="7" t="n">
        <f aca="false">가정!$B$5+J35</f>
        <v>4000000</v>
      </c>
      <c r="L35" s="7" t="n">
        <f aca="false">H35-K35</f>
        <v>-6820000</v>
      </c>
      <c r="M35" s="8" t="n">
        <f aca="false">IF(B35=0,0,K35/B35)</f>
        <v>0.459770114942529</v>
      </c>
      <c r="N35" s="7" t="n">
        <f aca="false">K35/가정!$B$8</f>
        <v>20000</v>
      </c>
      <c r="O35" s="7" t="str">
        <f aca="false">IF(I35&gt;0,A35,"")</f>
        <v/>
      </c>
      <c r="P35" s="7" t="str">
        <f aca="false">IF(L35&gt;=0,A35,"")</f>
        <v/>
      </c>
      <c r="Q35" s="7" t="str">
        <f aca="false">IF(K35&gt;=가정!$B$32,A35,"")</f>
        <v/>
      </c>
      <c r="R35" s="7" t="str">
        <f aca="false">IF(MAX(0,I35)*(1-가정!$B$6)*'1억 상환'!$B$6&gt;='1억 상환'!$B$5,A35,"")</f>
        <v/>
      </c>
    </row>
    <row r="36" customFormat="false" ht="15" hidden="false" customHeight="false" outlineLevel="0" collapsed="false">
      <c r="A36" s="7" t="n">
        <v>31</v>
      </c>
      <c r="B36" s="7" t="n">
        <f aca="false">A36*가정!$B$10</f>
        <v>8990000</v>
      </c>
      <c r="C36" s="7" t="n">
        <f aca="false">가정!$B$34</f>
        <v>3590000</v>
      </c>
      <c r="D36" s="7" t="n">
        <f aca="false">ROUNDUP(MAX(0,A36-가정!$B$18)/가정!$B$19,0)</f>
        <v>1</v>
      </c>
      <c r="E36" s="7" t="n">
        <f aca="false">D36*가정!$B$20+ROUNDUP(A36/가정!$B$22,0)*가정!$B$21+ROUNDUP(A36/가정!$B$24,0)*가정!$B$23</f>
        <v>7900000</v>
      </c>
      <c r="F36" s="7" t="n">
        <f aca="false">A36*가정!$B$26+B36*가정!$B$27</f>
        <v>31000</v>
      </c>
      <c r="G36" s="7" t="n">
        <f aca="false">B36*가정!$B$28</f>
        <v>0</v>
      </c>
      <c r="H36" s="7" t="n">
        <f aca="false">B36-C36-E36-F36-G36</f>
        <v>-2531000</v>
      </c>
      <c r="I36" s="7" t="n">
        <f aca="false">H36-IF(가정!$B$7=1,가정!$B$5,0)</f>
        <v>-6531000</v>
      </c>
      <c r="J36" s="7" t="n">
        <f aca="false">MAX(0,I36)*가정!$B$6</f>
        <v>0</v>
      </c>
      <c r="K36" s="7" t="n">
        <f aca="false">가정!$B$5+J36</f>
        <v>4000000</v>
      </c>
      <c r="L36" s="7" t="n">
        <f aca="false">H36-K36</f>
        <v>-6531000</v>
      </c>
      <c r="M36" s="8" t="n">
        <f aca="false">IF(B36=0,0,K36/B36)</f>
        <v>0.444938820912125</v>
      </c>
      <c r="N36" s="7" t="n">
        <f aca="false">K36/가정!$B$8</f>
        <v>20000</v>
      </c>
      <c r="O36" s="7" t="str">
        <f aca="false">IF(I36&gt;0,A36,"")</f>
        <v/>
      </c>
      <c r="P36" s="7" t="str">
        <f aca="false">IF(L36&gt;=0,A36,"")</f>
        <v/>
      </c>
      <c r="Q36" s="7" t="str">
        <f aca="false">IF(K36&gt;=가정!$B$32,A36,"")</f>
        <v/>
      </c>
      <c r="R36" s="7" t="str">
        <f aca="false">IF(MAX(0,I36)*(1-가정!$B$6)*'1억 상환'!$B$6&gt;='1억 상환'!$B$5,A36,"")</f>
        <v/>
      </c>
    </row>
    <row r="37" customFormat="false" ht="15" hidden="false" customHeight="false" outlineLevel="0" collapsed="false">
      <c r="A37" s="7" t="n">
        <v>32</v>
      </c>
      <c r="B37" s="7" t="n">
        <f aca="false">A37*가정!$B$10</f>
        <v>9280000</v>
      </c>
      <c r="C37" s="7" t="n">
        <f aca="false">가정!$B$34</f>
        <v>3590000</v>
      </c>
      <c r="D37" s="7" t="n">
        <f aca="false">ROUNDUP(MAX(0,A37-가정!$B$18)/가정!$B$19,0)</f>
        <v>1</v>
      </c>
      <c r="E37" s="7" t="n">
        <f aca="false">D37*가정!$B$20+ROUNDUP(A37/가정!$B$22,0)*가정!$B$21+ROUNDUP(A37/가정!$B$24,0)*가정!$B$23</f>
        <v>7900000</v>
      </c>
      <c r="F37" s="7" t="n">
        <f aca="false">A37*가정!$B$26+B37*가정!$B$27</f>
        <v>32000</v>
      </c>
      <c r="G37" s="7" t="n">
        <f aca="false">B37*가정!$B$28</f>
        <v>0</v>
      </c>
      <c r="H37" s="7" t="n">
        <f aca="false">B37-C37-E37-F37-G37</f>
        <v>-2242000</v>
      </c>
      <c r="I37" s="7" t="n">
        <f aca="false">H37-IF(가정!$B$7=1,가정!$B$5,0)</f>
        <v>-6242000</v>
      </c>
      <c r="J37" s="7" t="n">
        <f aca="false">MAX(0,I37)*가정!$B$6</f>
        <v>0</v>
      </c>
      <c r="K37" s="7" t="n">
        <f aca="false">가정!$B$5+J37</f>
        <v>4000000</v>
      </c>
      <c r="L37" s="7" t="n">
        <f aca="false">H37-K37</f>
        <v>-6242000</v>
      </c>
      <c r="M37" s="8" t="n">
        <f aca="false">IF(B37=0,0,K37/B37)</f>
        <v>0.431034482758621</v>
      </c>
      <c r="N37" s="7" t="n">
        <f aca="false">K37/가정!$B$8</f>
        <v>20000</v>
      </c>
      <c r="O37" s="7" t="str">
        <f aca="false">IF(I37&gt;0,A37,"")</f>
        <v/>
      </c>
      <c r="P37" s="7" t="str">
        <f aca="false">IF(L37&gt;=0,A37,"")</f>
        <v/>
      </c>
      <c r="Q37" s="7" t="str">
        <f aca="false">IF(K37&gt;=가정!$B$32,A37,"")</f>
        <v/>
      </c>
      <c r="R37" s="7" t="str">
        <f aca="false">IF(MAX(0,I37)*(1-가정!$B$6)*'1억 상환'!$B$6&gt;='1억 상환'!$B$5,A37,"")</f>
        <v/>
      </c>
    </row>
    <row r="38" customFormat="false" ht="15" hidden="false" customHeight="false" outlineLevel="0" collapsed="false">
      <c r="A38" s="7" t="n">
        <v>33</v>
      </c>
      <c r="B38" s="7" t="n">
        <f aca="false">A38*가정!$B$10</f>
        <v>9570000</v>
      </c>
      <c r="C38" s="7" t="n">
        <f aca="false">가정!$B$34</f>
        <v>3590000</v>
      </c>
      <c r="D38" s="7" t="n">
        <f aca="false">ROUNDUP(MAX(0,A38-가정!$B$18)/가정!$B$19,0)</f>
        <v>1</v>
      </c>
      <c r="E38" s="7" t="n">
        <f aca="false">D38*가정!$B$20+ROUNDUP(A38/가정!$B$22,0)*가정!$B$21+ROUNDUP(A38/가정!$B$24,0)*가정!$B$23</f>
        <v>7900000</v>
      </c>
      <c r="F38" s="7" t="n">
        <f aca="false">A38*가정!$B$26+B38*가정!$B$27</f>
        <v>33000</v>
      </c>
      <c r="G38" s="7" t="n">
        <f aca="false">B38*가정!$B$28</f>
        <v>0</v>
      </c>
      <c r="H38" s="7" t="n">
        <f aca="false">B38-C38-E38-F38-G38</f>
        <v>-1953000</v>
      </c>
      <c r="I38" s="7" t="n">
        <f aca="false">H38-IF(가정!$B$7=1,가정!$B$5,0)</f>
        <v>-5953000</v>
      </c>
      <c r="J38" s="7" t="n">
        <f aca="false">MAX(0,I38)*가정!$B$6</f>
        <v>0</v>
      </c>
      <c r="K38" s="7" t="n">
        <f aca="false">가정!$B$5+J38</f>
        <v>4000000</v>
      </c>
      <c r="L38" s="7" t="n">
        <f aca="false">H38-K38</f>
        <v>-5953000</v>
      </c>
      <c r="M38" s="8" t="n">
        <f aca="false">IF(B38=0,0,K38/B38)</f>
        <v>0.417972831765935</v>
      </c>
      <c r="N38" s="7" t="n">
        <f aca="false">K38/가정!$B$8</f>
        <v>20000</v>
      </c>
      <c r="O38" s="7" t="str">
        <f aca="false">IF(I38&gt;0,A38,"")</f>
        <v/>
      </c>
      <c r="P38" s="7" t="str">
        <f aca="false">IF(L38&gt;=0,A38,"")</f>
        <v/>
      </c>
      <c r="Q38" s="7" t="str">
        <f aca="false">IF(K38&gt;=가정!$B$32,A38,"")</f>
        <v/>
      </c>
      <c r="R38" s="7" t="str">
        <f aca="false">IF(MAX(0,I38)*(1-가정!$B$6)*'1억 상환'!$B$6&gt;='1억 상환'!$B$5,A38,"")</f>
        <v/>
      </c>
    </row>
    <row r="39" customFormat="false" ht="15" hidden="false" customHeight="false" outlineLevel="0" collapsed="false">
      <c r="A39" s="7" t="n">
        <v>34</v>
      </c>
      <c r="B39" s="7" t="n">
        <f aca="false">A39*가정!$B$10</f>
        <v>9860000</v>
      </c>
      <c r="C39" s="7" t="n">
        <f aca="false">가정!$B$34</f>
        <v>3590000</v>
      </c>
      <c r="D39" s="7" t="n">
        <f aca="false">ROUNDUP(MAX(0,A39-가정!$B$18)/가정!$B$19,0)</f>
        <v>1</v>
      </c>
      <c r="E39" s="7" t="n">
        <f aca="false">D39*가정!$B$20+ROUNDUP(A39/가정!$B$22,0)*가정!$B$21+ROUNDUP(A39/가정!$B$24,0)*가정!$B$23</f>
        <v>7900000</v>
      </c>
      <c r="F39" s="7" t="n">
        <f aca="false">A39*가정!$B$26+B39*가정!$B$27</f>
        <v>34000</v>
      </c>
      <c r="G39" s="7" t="n">
        <f aca="false">B39*가정!$B$28</f>
        <v>0</v>
      </c>
      <c r="H39" s="7" t="n">
        <f aca="false">B39-C39-E39-F39-G39</f>
        <v>-1664000</v>
      </c>
      <c r="I39" s="7" t="n">
        <f aca="false">H39-IF(가정!$B$7=1,가정!$B$5,0)</f>
        <v>-5664000</v>
      </c>
      <c r="J39" s="7" t="n">
        <f aca="false">MAX(0,I39)*가정!$B$6</f>
        <v>0</v>
      </c>
      <c r="K39" s="7" t="n">
        <f aca="false">가정!$B$5+J39</f>
        <v>4000000</v>
      </c>
      <c r="L39" s="7" t="n">
        <f aca="false">H39-K39</f>
        <v>-5664000</v>
      </c>
      <c r="M39" s="8" t="n">
        <f aca="false">IF(B39=0,0,K39/B39)</f>
        <v>0.405679513184584</v>
      </c>
      <c r="N39" s="7" t="n">
        <f aca="false">K39/가정!$B$8</f>
        <v>20000</v>
      </c>
      <c r="O39" s="7" t="str">
        <f aca="false">IF(I39&gt;0,A39,"")</f>
        <v/>
      </c>
      <c r="P39" s="7" t="str">
        <f aca="false">IF(L39&gt;=0,A39,"")</f>
        <v/>
      </c>
      <c r="Q39" s="7" t="str">
        <f aca="false">IF(K39&gt;=가정!$B$32,A39,"")</f>
        <v/>
      </c>
      <c r="R39" s="7" t="str">
        <f aca="false">IF(MAX(0,I39)*(1-가정!$B$6)*'1억 상환'!$B$6&gt;='1억 상환'!$B$5,A39,"")</f>
        <v/>
      </c>
    </row>
    <row r="40" customFormat="false" ht="15" hidden="false" customHeight="false" outlineLevel="0" collapsed="false">
      <c r="A40" s="7" t="n">
        <v>35</v>
      </c>
      <c r="B40" s="7" t="n">
        <f aca="false">A40*가정!$B$10</f>
        <v>10150000</v>
      </c>
      <c r="C40" s="7" t="n">
        <f aca="false">가정!$B$34</f>
        <v>3590000</v>
      </c>
      <c r="D40" s="7" t="n">
        <f aca="false">ROUNDUP(MAX(0,A40-가정!$B$18)/가정!$B$19,0)</f>
        <v>1</v>
      </c>
      <c r="E40" s="7" t="n">
        <f aca="false">D40*가정!$B$20+ROUNDUP(A40/가정!$B$22,0)*가정!$B$21+ROUNDUP(A40/가정!$B$24,0)*가정!$B$23</f>
        <v>7900000</v>
      </c>
      <c r="F40" s="7" t="n">
        <f aca="false">A40*가정!$B$26+B40*가정!$B$27</f>
        <v>35000</v>
      </c>
      <c r="G40" s="7" t="n">
        <f aca="false">B40*가정!$B$28</f>
        <v>0</v>
      </c>
      <c r="H40" s="7" t="n">
        <f aca="false">B40-C40-E40-F40-G40</f>
        <v>-1375000</v>
      </c>
      <c r="I40" s="7" t="n">
        <f aca="false">H40-IF(가정!$B$7=1,가정!$B$5,0)</f>
        <v>-5375000</v>
      </c>
      <c r="J40" s="7" t="n">
        <f aca="false">MAX(0,I40)*가정!$B$6</f>
        <v>0</v>
      </c>
      <c r="K40" s="7" t="n">
        <f aca="false">가정!$B$5+J40</f>
        <v>4000000</v>
      </c>
      <c r="L40" s="7" t="n">
        <f aca="false">H40-K40</f>
        <v>-5375000</v>
      </c>
      <c r="M40" s="8" t="n">
        <f aca="false">IF(B40=0,0,K40/B40)</f>
        <v>0.394088669950739</v>
      </c>
      <c r="N40" s="7" t="n">
        <f aca="false">K40/가정!$B$8</f>
        <v>20000</v>
      </c>
      <c r="O40" s="7" t="str">
        <f aca="false">IF(I40&gt;0,A40,"")</f>
        <v/>
      </c>
      <c r="P40" s="7" t="str">
        <f aca="false">IF(L40&gt;=0,A40,"")</f>
        <v/>
      </c>
      <c r="Q40" s="7" t="str">
        <f aca="false">IF(K40&gt;=가정!$B$32,A40,"")</f>
        <v/>
      </c>
      <c r="R40" s="7" t="str">
        <f aca="false">IF(MAX(0,I40)*(1-가정!$B$6)*'1억 상환'!$B$6&gt;='1억 상환'!$B$5,A40,"")</f>
        <v/>
      </c>
    </row>
    <row r="41" customFormat="false" ht="15" hidden="false" customHeight="false" outlineLevel="0" collapsed="false">
      <c r="A41" s="7" t="n">
        <v>36</v>
      </c>
      <c r="B41" s="7" t="n">
        <f aca="false">A41*가정!$B$10</f>
        <v>10440000</v>
      </c>
      <c r="C41" s="7" t="n">
        <f aca="false">가정!$B$34</f>
        <v>3590000</v>
      </c>
      <c r="D41" s="7" t="n">
        <f aca="false">ROUNDUP(MAX(0,A41-가정!$B$18)/가정!$B$19,0)</f>
        <v>1</v>
      </c>
      <c r="E41" s="7" t="n">
        <f aca="false">D41*가정!$B$20+ROUNDUP(A41/가정!$B$22,0)*가정!$B$21+ROUNDUP(A41/가정!$B$24,0)*가정!$B$23</f>
        <v>7900000</v>
      </c>
      <c r="F41" s="7" t="n">
        <f aca="false">A41*가정!$B$26+B41*가정!$B$27</f>
        <v>36000</v>
      </c>
      <c r="G41" s="7" t="n">
        <f aca="false">B41*가정!$B$28</f>
        <v>0</v>
      </c>
      <c r="H41" s="7" t="n">
        <f aca="false">B41-C41-E41-F41-G41</f>
        <v>-1086000</v>
      </c>
      <c r="I41" s="7" t="n">
        <f aca="false">H41-IF(가정!$B$7=1,가정!$B$5,0)</f>
        <v>-5086000</v>
      </c>
      <c r="J41" s="7" t="n">
        <f aca="false">MAX(0,I41)*가정!$B$6</f>
        <v>0</v>
      </c>
      <c r="K41" s="7" t="n">
        <f aca="false">가정!$B$5+J41</f>
        <v>4000000</v>
      </c>
      <c r="L41" s="7" t="n">
        <f aca="false">H41-K41</f>
        <v>-5086000</v>
      </c>
      <c r="M41" s="8" t="n">
        <f aca="false">IF(B41=0,0,K41/B41)</f>
        <v>0.383141762452107</v>
      </c>
      <c r="N41" s="7" t="n">
        <f aca="false">K41/가정!$B$8</f>
        <v>20000</v>
      </c>
      <c r="O41" s="7" t="str">
        <f aca="false">IF(I41&gt;0,A41,"")</f>
        <v/>
      </c>
      <c r="P41" s="7" t="str">
        <f aca="false">IF(L41&gt;=0,A41,"")</f>
        <v/>
      </c>
      <c r="Q41" s="7" t="str">
        <f aca="false">IF(K41&gt;=가정!$B$32,A41,"")</f>
        <v/>
      </c>
      <c r="R41" s="7" t="str">
        <f aca="false">IF(MAX(0,I41)*(1-가정!$B$6)*'1억 상환'!$B$6&gt;='1억 상환'!$B$5,A41,"")</f>
        <v/>
      </c>
    </row>
    <row r="42" customFormat="false" ht="15" hidden="false" customHeight="false" outlineLevel="0" collapsed="false">
      <c r="A42" s="7" t="n">
        <v>37</v>
      </c>
      <c r="B42" s="7" t="n">
        <f aca="false">A42*가정!$B$10</f>
        <v>10730000</v>
      </c>
      <c r="C42" s="7" t="n">
        <f aca="false">가정!$B$34</f>
        <v>3590000</v>
      </c>
      <c r="D42" s="7" t="n">
        <f aca="false">ROUNDUP(MAX(0,A42-가정!$B$18)/가정!$B$19,0)</f>
        <v>1</v>
      </c>
      <c r="E42" s="7" t="n">
        <f aca="false">D42*가정!$B$20+ROUNDUP(A42/가정!$B$22,0)*가정!$B$21+ROUNDUP(A42/가정!$B$24,0)*가정!$B$23</f>
        <v>7900000</v>
      </c>
      <c r="F42" s="7" t="n">
        <f aca="false">A42*가정!$B$26+B42*가정!$B$27</f>
        <v>37000</v>
      </c>
      <c r="G42" s="7" t="n">
        <f aca="false">B42*가정!$B$28</f>
        <v>0</v>
      </c>
      <c r="H42" s="7" t="n">
        <f aca="false">B42-C42-E42-F42-G42</f>
        <v>-797000</v>
      </c>
      <c r="I42" s="7" t="n">
        <f aca="false">H42-IF(가정!$B$7=1,가정!$B$5,0)</f>
        <v>-4797000</v>
      </c>
      <c r="J42" s="7" t="n">
        <f aca="false">MAX(0,I42)*가정!$B$6</f>
        <v>0</v>
      </c>
      <c r="K42" s="7" t="n">
        <f aca="false">가정!$B$5+J42</f>
        <v>4000000</v>
      </c>
      <c r="L42" s="7" t="n">
        <f aca="false">H42-K42</f>
        <v>-4797000</v>
      </c>
      <c r="M42" s="8" t="n">
        <f aca="false">IF(B42=0,0,K42/B42)</f>
        <v>0.372786579683131</v>
      </c>
      <c r="N42" s="7" t="n">
        <f aca="false">K42/가정!$B$8</f>
        <v>20000</v>
      </c>
      <c r="O42" s="7" t="str">
        <f aca="false">IF(I42&gt;0,A42,"")</f>
        <v/>
      </c>
      <c r="P42" s="7" t="str">
        <f aca="false">IF(L42&gt;=0,A42,"")</f>
        <v/>
      </c>
      <c r="Q42" s="7" t="str">
        <f aca="false">IF(K42&gt;=가정!$B$32,A42,"")</f>
        <v/>
      </c>
      <c r="R42" s="7" t="str">
        <f aca="false">IF(MAX(0,I42)*(1-가정!$B$6)*'1억 상환'!$B$6&gt;='1억 상환'!$B$5,A42,"")</f>
        <v/>
      </c>
    </row>
    <row r="43" customFormat="false" ht="15" hidden="false" customHeight="false" outlineLevel="0" collapsed="false">
      <c r="A43" s="7" t="n">
        <v>38</v>
      </c>
      <c r="B43" s="7" t="n">
        <f aca="false">A43*가정!$B$10</f>
        <v>11020000</v>
      </c>
      <c r="C43" s="7" t="n">
        <f aca="false">가정!$B$34</f>
        <v>3590000</v>
      </c>
      <c r="D43" s="7" t="n">
        <f aca="false">ROUNDUP(MAX(0,A43-가정!$B$18)/가정!$B$19,0)</f>
        <v>1</v>
      </c>
      <c r="E43" s="7" t="n">
        <f aca="false">D43*가정!$B$20+ROUNDUP(A43/가정!$B$22,0)*가정!$B$21+ROUNDUP(A43/가정!$B$24,0)*가정!$B$23</f>
        <v>7900000</v>
      </c>
      <c r="F43" s="7" t="n">
        <f aca="false">A43*가정!$B$26+B43*가정!$B$27</f>
        <v>38000</v>
      </c>
      <c r="G43" s="7" t="n">
        <f aca="false">B43*가정!$B$28</f>
        <v>0</v>
      </c>
      <c r="H43" s="7" t="n">
        <f aca="false">B43-C43-E43-F43-G43</f>
        <v>-508000</v>
      </c>
      <c r="I43" s="7" t="n">
        <f aca="false">H43-IF(가정!$B$7=1,가정!$B$5,0)</f>
        <v>-4508000</v>
      </c>
      <c r="J43" s="7" t="n">
        <f aca="false">MAX(0,I43)*가정!$B$6</f>
        <v>0</v>
      </c>
      <c r="K43" s="7" t="n">
        <f aca="false">가정!$B$5+J43</f>
        <v>4000000</v>
      </c>
      <c r="L43" s="7" t="n">
        <f aca="false">H43-K43</f>
        <v>-4508000</v>
      </c>
      <c r="M43" s="8" t="n">
        <f aca="false">IF(B43=0,0,K43/B43)</f>
        <v>0.362976406533575</v>
      </c>
      <c r="N43" s="7" t="n">
        <f aca="false">K43/가정!$B$8</f>
        <v>20000</v>
      </c>
      <c r="O43" s="7" t="str">
        <f aca="false">IF(I43&gt;0,A43,"")</f>
        <v/>
      </c>
      <c r="P43" s="7" t="str">
        <f aca="false">IF(L43&gt;=0,A43,"")</f>
        <v/>
      </c>
      <c r="Q43" s="7" t="str">
        <f aca="false">IF(K43&gt;=가정!$B$32,A43,"")</f>
        <v/>
      </c>
      <c r="R43" s="7" t="str">
        <f aca="false">IF(MAX(0,I43)*(1-가정!$B$6)*'1억 상환'!$B$6&gt;='1억 상환'!$B$5,A43,"")</f>
        <v/>
      </c>
    </row>
    <row r="44" customFormat="false" ht="15" hidden="false" customHeight="false" outlineLevel="0" collapsed="false">
      <c r="A44" s="7" t="n">
        <v>39</v>
      </c>
      <c r="B44" s="7" t="n">
        <f aca="false">A44*가정!$B$10</f>
        <v>11310000</v>
      </c>
      <c r="C44" s="7" t="n">
        <f aca="false">가정!$B$34</f>
        <v>3590000</v>
      </c>
      <c r="D44" s="7" t="n">
        <f aca="false">ROUNDUP(MAX(0,A44-가정!$B$18)/가정!$B$19,0)</f>
        <v>1</v>
      </c>
      <c r="E44" s="7" t="n">
        <f aca="false">D44*가정!$B$20+ROUNDUP(A44/가정!$B$22,0)*가정!$B$21+ROUNDUP(A44/가정!$B$24,0)*가정!$B$23</f>
        <v>7900000</v>
      </c>
      <c r="F44" s="7" t="n">
        <f aca="false">A44*가정!$B$26+B44*가정!$B$27</f>
        <v>39000</v>
      </c>
      <c r="G44" s="7" t="n">
        <f aca="false">B44*가정!$B$28</f>
        <v>0</v>
      </c>
      <c r="H44" s="7" t="n">
        <f aca="false">B44-C44-E44-F44-G44</f>
        <v>-219000</v>
      </c>
      <c r="I44" s="7" t="n">
        <f aca="false">H44-IF(가정!$B$7=1,가정!$B$5,0)</f>
        <v>-4219000</v>
      </c>
      <c r="J44" s="7" t="n">
        <f aca="false">MAX(0,I44)*가정!$B$6</f>
        <v>0</v>
      </c>
      <c r="K44" s="7" t="n">
        <f aca="false">가정!$B$5+J44</f>
        <v>4000000</v>
      </c>
      <c r="L44" s="7" t="n">
        <f aca="false">H44-K44</f>
        <v>-4219000</v>
      </c>
      <c r="M44" s="8" t="n">
        <f aca="false">IF(B44=0,0,K44/B44)</f>
        <v>0.353669319186561</v>
      </c>
      <c r="N44" s="7" t="n">
        <f aca="false">K44/가정!$B$8</f>
        <v>20000</v>
      </c>
      <c r="O44" s="7" t="str">
        <f aca="false">IF(I44&gt;0,A44,"")</f>
        <v/>
      </c>
      <c r="P44" s="7" t="str">
        <f aca="false">IF(L44&gt;=0,A44,"")</f>
        <v/>
      </c>
      <c r="Q44" s="7" t="str">
        <f aca="false">IF(K44&gt;=가정!$B$32,A44,"")</f>
        <v/>
      </c>
      <c r="R44" s="7" t="str">
        <f aca="false">IF(MAX(0,I44)*(1-가정!$B$6)*'1억 상환'!$B$6&gt;='1억 상환'!$B$5,A44,"")</f>
        <v/>
      </c>
    </row>
    <row r="45" customFormat="false" ht="15" hidden="false" customHeight="false" outlineLevel="0" collapsed="false">
      <c r="A45" s="7" t="n">
        <v>40</v>
      </c>
      <c r="B45" s="7" t="n">
        <f aca="false">A45*가정!$B$10</f>
        <v>11600000</v>
      </c>
      <c r="C45" s="7" t="n">
        <f aca="false">가정!$B$34</f>
        <v>3590000</v>
      </c>
      <c r="D45" s="7" t="n">
        <f aca="false">ROUNDUP(MAX(0,A45-가정!$B$18)/가정!$B$19,0)</f>
        <v>1</v>
      </c>
      <c r="E45" s="7" t="n">
        <f aca="false">D45*가정!$B$20+ROUNDUP(A45/가정!$B$22,0)*가정!$B$21+ROUNDUP(A45/가정!$B$24,0)*가정!$B$23</f>
        <v>7900000</v>
      </c>
      <c r="F45" s="7" t="n">
        <f aca="false">A45*가정!$B$26+B45*가정!$B$27</f>
        <v>40000</v>
      </c>
      <c r="G45" s="7" t="n">
        <f aca="false">B45*가정!$B$28</f>
        <v>0</v>
      </c>
      <c r="H45" s="7" t="n">
        <f aca="false">B45-C45-E45-F45-G45</f>
        <v>70000</v>
      </c>
      <c r="I45" s="7" t="n">
        <f aca="false">H45-IF(가정!$B$7=1,가정!$B$5,0)</f>
        <v>-3930000</v>
      </c>
      <c r="J45" s="7" t="n">
        <f aca="false">MAX(0,I45)*가정!$B$6</f>
        <v>0</v>
      </c>
      <c r="K45" s="7" t="n">
        <f aca="false">가정!$B$5+J45</f>
        <v>4000000</v>
      </c>
      <c r="L45" s="7" t="n">
        <f aca="false">H45-K45</f>
        <v>-3930000</v>
      </c>
      <c r="M45" s="8" t="n">
        <f aca="false">IF(B45=0,0,K45/B45)</f>
        <v>0.344827586206897</v>
      </c>
      <c r="N45" s="7" t="n">
        <f aca="false">K45/가정!$B$8</f>
        <v>20000</v>
      </c>
      <c r="O45" s="7" t="str">
        <f aca="false">IF(I45&gt;0,A45,"")</f>
        <v/>
      </c>
      <c r="P45" s="7" t="str">
        <f aca="false">IF(L45&gt;=0,A45,"")</f>
        <v/>
      </c>
      <c r="Q45" s="7" t="str">
        <f aca="false">IF(K45&gt;=가정!$B$32,A45,"")</f>
        <v/>
      </c>
      <c r="R45" s="7" t="str">
        <f aca="false">IF(MAX(0,I45)*(1-가정!$B$6)*'1억 상환'!$B$6&gt;='1억 상환'!$B$5,A45,"")</f>
        <v/>
      </c>
    </row>
    <row r="46" customFormat="false" ht="15" hidden="false" customHeight="false" outlineLevel="0" collapsed="false">
      <c r="A46" s="7" t="n">
        <v>41</v>
      </c>
      <c r="B46" s="7" t="n">
        <f aca="false">A46*가정!$B$10</f>
        <v>11890000</v>
      </c>
      <c r="C46" s="7" t="n">
        <f aca="false">가정!$B$34</f>
        <v>3590000</v>
      </c>
      <c r="D46" s="7" t="n">
        <f aca="false">ROUNDUP(MAX(0,A46-가정!$B$18)/가정!$B$19,0)</f>
        <v>1</v>
      </c>
      <c r="E46" s="7" t="n">
        <f aca="false">D46*가정!$B$20+ROUNDUP(A46/가정!$B$22,0)*가정!$B$21+ROUNDUP(A46/가정!$B$24,0)*가정!$B$23</f>
        <v>7900000</v>
      </c>
      <c r="F46" s="7" t="n">
        <f aca="false">A46*가정!$B$26+B46*가정!$B$27</f>
        <v>41000</v>
      </c>
      <c r="G46" s="7" t="n">
        <f aca="false">B46*가정!$B$28</f>
        <v>0</v>
      </c>
      <c r="H46" s="7" t="n">
        <f aca="false">B46-C46-E46-F46-G46</f>
        <v>359000</v>
      </c>
      <c r="I46" s="7" t="n">
        <f aca="false">H46-IF(가정!$B$7=1,가정!$B$5,0)</f>
        <v>-3641000</v>
      </c>
      <c r="J46" s="7" t="n">
        <f aca="false">MAX(0,I46)*가정!$B$6</f>
        <v>0</v>
      </c>
      <c r="K46" s="7" t="n">
        <f aca="false">가정!$B$5+J46</f>
        <v>4000000</v>
      </c>
      <c r="L46" s="7" t="n">
        <f aca="false">H46-K46</f>
        <v>-3641000</v>
      </c>
      <c r="M46" s="8" t="n">
        <f aca="false">IF(B46=0,0,K46/B46)</f>
        <v>0.336417157275021</v>
      </c>
      <c r="N46" s="7" t="n">
        <f aca="false">K46/가정!$B$8</f>
        <v>20000</v>
      </c>
      <c r="O46" s="7" t="str">
        <f aca="false">IF(I46&gt;0,A46,"")</f>
        <v/>
      </c>
      <c r="P46" s="7" t="str">
        <f aca="false">IF(L46&gt;=0,A46,"")</f>
        <v/>
      </c>
      <c r="Q46" s="7" t="str">
        <f aca="false">IF(K46&gt;=가정!$B$32,A46,"")</f>
        <v/>
      </c>
      <c r="R46" s="7" t="str">
        <f aca="false">IF(MAX(0,I46)*(1-가정!$B$6)*'1억 상환'!$B$6&gt;='1억 상환'!$B$5,A46,"")</f>
        <v/>
      </c>
    </row>
    <row r="47" customFormat="false" ht="15" hidden="false" customHeight="false" outlineLevel="0" collapsed="false">
      <c r="A47" s="7" t="n">
        <v>42</v>
      </c>
      <c r="B47" s="7" t="n">
        <f aca="false">A47*가정!$B$10</f>
        <v>12180000</v>
      </c>
      <c r="C47" s="7" t="n">
        <f aca="false">가정!$B$34</f>
        <v>3590000</v>
      </c>
      <c r="D47" s="7" t="n">
        <f aca="false">ROUNDUP(MAX(0,A47-가정!$B$18)/가정!$B$19,0)</f>
        <v>1</v>
      </c>
      <c r="E47" s="7" t="n">
        <f aca="false">D47*가정!$B$20+ROUNDUP(A47/가정!$B$22,0)*가정!$B$21+ROUNDUP(A47/가정!$B$24,0)*가정!$B$23</f>
        <v>7900000</v>
      </c>
      <c r="F47" s="7" t="n">
        <f aca="false">A47*가정!$B$26+B47*가정!$B$27</f>
        <v>42000</v>
      </c>
      <c r="G47" s="7" t="n">
        <f aca="false">B47*가정!$B$28</f>
        <v>0</v>
      </c>
      <c r="H47" s="7" t="n">
        <f aca="false">B47-C47-E47-F47-G47</f>
        <v>648000</v>
      </c>
      <c r="I47" s="7" t="n">
        <f aca="false">H47-IF(가정!$B$7=1,가정!$B$5,0)</f>
        <v>-3352000</v>
      </c>
      <c r="J47" s="7" t="n">
        <f aca="false">MAX(0,I47)*가정!$B$6</f>
        <v>0</v>
      </c>
      <c r="K47" s="7" t="n">
        <f aca="false">가정!$B$5+J47</f>
        <v>4000000</v>
      </c>
      <c r="L47" s="7" t="n">
        <f aca="false">H47-K47</f>
        <v>-3352000</v>
      </c>
      <c r="M47" s="8" t="n">
        <f aca="false">IF(B47=0,0,K47/B47)</f>
        <v>0.328407224958949</v>
      </c>
      <c r="N47" s="7" t="n">
        <f aca="false">K47/가정!$B$8</f>
        <v>20000</v>
      </c>
      <c r="O47" s="7" t="str">
        <f aca="false">IF(I47&gt;0,A47,"")</f>
        <v/>
      </c>
      <c r="P47" s="7" t="str">
        <f aca="false">IF(L47&gt;=0,A47,"")</f>
        <v/>
      </c>
      <c r="Q47" s="7" t="str">
        <f aca="false">IF(K47&gt;=가정!$B$32,A47,"")</f>
        <v/>
      </c>
      <c r="R47" s="7" t="str">
        <f aca="false">IF(MAX(0,I47)*(1-가정!$B$6)*'1억 상환'!$B$6&gt;='1억 상환'!$B$5,A47,"")</f>
        <v/>
      </c>
    </row>
    <row r="48" customFormat="false" ht="15" hidden="false" customHeight="false" outlineLevel="0" collapsed="false">
      <c r="A48" s="7" t="n">
        <v>43</v>
      </c>
      <c r="B48" s="7" t="n">
        <f aca="false">A48*가정!$B$10</f>
        <v>12470000</v>
      </c>
      <c r="C48" s="7" t="n">
        <f aca="false">가정!$B$34</f>
        <v>3590000</v>
      </c>
      <c r="D48" s="7" t="n">
        <f aca="false">ROUNDUP(MAX(0,A48-가정!$B$18)/가정!$B$19,0)</f>
        <v>1</v>
      </c>
      <c r="E48" s="7" t="n">
        <f aca="false">D48*가정!$B$20+ROUNDUP(A48/가정!$B$22,0)*가정!$B$21+ROUNDUP(A48/가정!$B$24,0)*가정!$B$23</f>
        <v>7900000</v>
      </c>
      <c r="F48" s="7" t="n">
        <f aca="false">A48*가정!$B$26+B48*가정!$B$27</f>
        <v>43000</v>
      </c>
      <c r="G48" s="7" t="n">
        <f aca="false">B48*가정!$B$28</f>
        <v>0</v>
      </c>
      <c r="H48" s="7" t="n">
        <f aca="false">B48-C48-E48-F48-G48</f>
        <v>937000</v>
      </c>
      <c r="I48" s="7" t="n">
        <f aca="false">H48-IF(가정!$B$7=1,가정!$B$5,0)</f>
        <v>-3063000</v>
      </c>
      <c r="J48" s="7" t="n">
        <f aca="false">MAX(0,I48)*가정!$B$6</f>
        <v>0</v>
      </c>
      <c r="K48" s="7" t="n">
        <f aca="false">가정!$B$5+J48</f>
        <v>4000000</v>
      </c>
      <c r="L48" s="7" t="n">
        <f aca="false">H48-K48</f>
        <v>-3063000</v>
      </c>
      <c r="M48" s="8" t="n">
        <f aca="false">IF(B48=0,0,K48/B48)</f>
        <v>0.320769847634322</v>
      </c>
      <c r="N48" s="7" t="n">
        <f aca="false">K48/가정!$B$8</f>
        <v>20000</v>
      </c>
      <c r="O48" s="7" t="str">
        <f aca="false">IF(I48&gt;0,A48,"")</f>
        <v/>
      </c>
      <c r="P48" s="7" t="str">
        <f aca="false">IF(L48&gt;=0,A48,"")</f>
        <v/>
      </c>
      <c r="Q48" s="7" t="str">
        <f aca="false">IF(K48&gt;=가정!$B$32,A48,"")</f>
        <v/>
      </c>
      <c r="R48" s="7" t="str">
        <f aca="false">IF(MAX(0,I48)*(1-가정!$B$6)*'1억 상환'!$B$6&gt;='1억 상환'!$B$5,A48,"")</f>
        <v/>
      </c>
    </row>
    <row r="49" customFormat="false" ht="15" hidden="false" customHeight="false" outlineLevel="0" collapsed="false">
      <c r="A49" s="7" t="n">
        <v>44</v>
      </c>
      <c r="B49" s="7" t="n">
        <f aca="false">A49*가정!$B$10</f>
        <v>12760000</v>
      </c>
      <c r="C49" s="7" t="n">
        <f aca="false">가정!$B$34</f>
        <v>3590000</v>
      </c>
      <c r="D49" s="7" t="n">
        <f aca="false">ROUNDUP(MAX(0,A49-가정!$B$18)/가정!$B$19,0)</f>
        <v>1</v>
      </c>
      <c r="E49" s="7" t="n">
        <f aca="false">D49*가정!$B$20+ROUNDUP(A49/가정!$B$22,0)*가정!$B$21+ROUNDUP(A49/가정!$B$24,0)*가정!$B$23</f>
        <v>7900000</v>
      </c>
      <c r="F49" s="7" t="n">
        <f aca="false">A49*가정!$B$26+B49*가정!$B$27</f>
        <v>44000</v>
      </c>
      <c r="G49" s="7" t="n">
        <f aca="false">B49*가정!$B$28</f>
        <v>0</v>
      </c>
      <c r="H49" s="7" t="n">
        <f aca="false">B49-C49-E49-F49-G49</f>
        <v>1226000</v>
      </c>
      <c r="I49" s="7" t="n">
        <f aca="false">H49-IF(가정!$B$7=1,가정!$B$5,0)</f>
        <v>-2774000</v>
      </c>
      <c r="J49" s="7" t="n">
        <f aca="false">MAX(0,I49)*가정!$B$6</f>
        <v>0</v>
      </c>
      <c r="K49" s="7" t="n">
        <f aca="false">가정!$B$5+J49</f>
        <v>4000000</v>
      </c>
      <c r="L49" s="7" t="n">
        <f aca="false">H49-K49</f>
        <v>-2774000</v>
      </c>
      <c r="M49" s="8" t="n">
        <f aca="false">IF(B49=0,0,K49/B49)</f>
        <v>0.313479623824451</v>
      </c>
      <c r="N49" s="7" t="n">
        <f aca="false">K49/가정!$B$8</f>
        <v>20000</v>
      </c>
      <c r="O49" s="7" t="str">
        <f aca="false">IF(I49&gt;0,A49,"")</f>
        <v/>
      </c>
      <c r="P49" s="7" t="str">
        <f aca="false">IF(L49&gt;=0,A49,"")</f>
        <v/>
      </c>
      <c r="Q49" s="7" t="str">
        <f aca="false">IF(K49&gt;=가정!$B$32,A49,"")</f>
        <v/>
      </c>
      <c r="R49" s="7" t="str">
        <f aca="false">IF(MAX(0,I49)*(1-가정!$B$6)*'1억 상환'!$B$6&gt;='1억 상환'!$B$5,A49,"")</f>
        <v/>
      </c>
    </row>
    <row r="50" customFormat="false" ht="15" hidden="false" customHeight="false" outlineLevel="0" collapsed="false">
      <c r="A50" s="7" t="n">
        <v>45</v>
      </c>
      <c r="B50" s="7" t="n">
        <f aca="false">A50*가정!$B$10</f>
        <v>13050000</v>
      </c>
      <c r="C50" s="7" t="n">
        <f aca="false">가정!$B$34</f>
        <v>3590000</v>
      </c>
      <c r="D50" s="7" t="n">
        <f aca="false">ROUNDUP(MAX(0,A50-가정!$B$18)/가정!$B$19,0)</f>
        <v>1</v>
      </c>
      <c r="E50" s="7" t="n">
        <f aca="false">D50*가정!$B$20+ROUNDUP(A50/가정!$B$22,0)*가정!$B$21+ROUNDUP(A50/가정!$B$24,0)*가정!$B$23</f>
        <v>7900000</v>
      </c>
      <c r="F50" s="7" t="n">
        <f aca="false">A50*가정!$B$26+B50*가정!$B$27</f>
        <v>45000</v>
      </c>
      <c r="G50" s="7" t="n">
        <f aca="false">B50*가정!$B$28</f>
        <v>0</v>
      </c>
      <c r="H50" s="7" t="n">
        <f aca="false">B50-C50-E50-F50-G50</f>
        <v>1515000</v>
      </c>
      <c r="I50" s="7" t="n">
        <f aca="false">H50-IF(가정!$B$7=1,가정!$B$5,0)</f>
        <v>-2485000</v>
      </c>
      <c r="J50" s="7" t="n">
        <f aca="false">MAX(0,I50)*가정!$B$6</f>
        <v>0</v>
      </c>
      <c r="K50" s="7" t="n">
        <f aca="false">가정!$B$5+J50</f>
        <v>4000000</v>
      </c>
      <c r="L50" s="7" t="n">
        <f aca="false">H50-K50</f>
        <v>-2485000</v>
      </c>
      <c r="M50" s="8" t="n">
        <f aca="false">IF(B50=0,0,K50/B50)</f>
        <v>0.306513409961686</v>
      </c>
      <c r="N50" s="7" t="n">
        <f aca="false">K50/가정!$B$8</f>
        <v>20000</v>
      </c>
      <c r="O50" s="7" t="str">
        <f aca="false">IF(I50&gt;0,A50,"")</f>
        <v/>
      </c>
      <c r="P50" s="7" t="str">
        <f aca="false">IF(L50&gt;=0,A50,"")</f>
        <v/>
      </c>
      <c r="Q50" s="7" t="str">
        <f aca="false">IF(K50&gt;=가정!$B$32,A50,"")</f>
        <v/>
      </c>
      <c r="R50" s="7" t="str">
        <f aca="false">IF(MAX(0,I50)*(1-가정!$B$6)*'1억 상환'!$B$6&gt;='1억 상환'!$B$5,A50,"")</f>
        <v/>
      </c>
    </row>
    <row r="51" customFormat="false" ht="15" hidden="false" customHeight="false" outlineLevel="0" collapsed="false">
      <c r="A51" s="7" t="n">
        <v>46</v>
      </c>
      <c r="B51" s="7" t="n">
        <f aca="false">A51*가정!$B$10</f>
        <v>13340000</v>
      </c>
      <c r="C51" s="7" t="n">
        <f aca="false">가정!$B$34</f>
        <v>3590000</v>
      </c>
      <c r="D51" s="7" t="n">
        <f aca="false">ROUNDUP(MAX(0,A51-가정!$B$18)/가정!$B$19,0)</f>
        <v>1</v>
      </c>
      <c r="E51" s="7" t="n">
        <f aca="false">D51*가정!$B$20+ROUNDUP(A51/가정!$B$22,0)*가정!$B$21+ROUNDUP(A51/가정!$B$24,0)*가정!$B$23</f>
        <v>7900000</v>
      </c>
      <c r="F51" s="7" t="n">
        <f aca="false">A51*가정!$B$26+B51*가정!$B$27</f>
        <v>46000</v>
      </c>
      <c r="G51" s="7" t="n">
        <f aca="false">B51*가정!$B$28</f>
        <v>0</v>
      </c>
      <c r="H51" s="7" t="n">
        <f aca="false">B51-C51-E51-F51-G51</f>
        <v>1804000</v>
      </c>
      <c r="I51" s="7" t="n">
        <f aca="false">H51-IF(가정!$B$7=1,가정!$B$5,0)</f>
        <v>-2196000</v>
      </c>
      <c r="J51" s="7" t="n">
        <f aca="false">MAX(0,I51)*가정!$B$6</f>
        <v>0</v>
      </c>
      <c r="K51" s="7" t="n">
        <f aca="false">가정!$B$5+J51</f>
        <v>4000000</v>
      </c>
      <c r="L51" s="7" t="n">
        <f aca="false">H51-K51</f>
        <v>-2196000</v>
      </c>
      <c r="M51" s="8" t="n">
        <f aca="false">IF(B51=0,0,K51/B51)</f>
        <v>0.299850074962519</v>
      </c>
      <c r="N51" s="7" t="n">
        <f aca="false">K51/가정!$B$8</f>
        <v>20000</v>
      </c>
      <c r="O51" s="7" t="str">
        <f aca="false">IF(I51&gt;0,A51,"")</f>
        <v/>
      </c>
      <c r="P51" s="7" t="str">
        <f aca="false">IF(L51&gt;=0,A51,"")</f>
        <v/>
      </c>
      <c r="Q51" s="7" t="str">
        <f aca="false">IF(K51&gt;=가정!$B$32,A51,"")</f>
        <v/>
      </c>
      <c r="R51" s="7" t="str">
        <f aca="false">IF(MAX(0,I51)*(1-가정!$B$6)*'1억 상환'!$B$6&gt;='1억 상환'!$B$5,A51,"")</f>
        <v/>
      </c>
    </row>
    <row r="52" customFormat="false" ht="15" hidden="false" customHeight="false" outlineLevel="0" collapsed="false">
      <c r="A52" s="7" t="n">
        <v>47</v>
      </c>
      <c r="B52" s="7" t="n">
        <f aca="false">A52*가정!$B$10</f>
        <v>13630000</v>
      </c>
      <c r="C52" s="7" t="n">
        <f aca="false">가정!$B$34</f>
        <v>3590000</v>
      </c>
      <c r="D52" s="7" t="n">
        <f aca="false">ROUNDUP(MAX(0,A52-가정!$B$18)/가정!$B$19,0)</f>
        <v>1</v>
      </c>
      <c r="E52" s="7" t="n">
        <f aca="false">D52*가정!$B$20+ROUNDUP(A52/가정!$B$22,0)*가정!$B$21+ROUNDUP(A52/가정!$B$24,0)*가정!$B$23</f>
        <v>7900000</v>
      </c>
      <c r="F52" s="7" t="n">
        <f aca="false">A52*가정!$B$26+B52*가정!$B$27</f>
        <v>47000</v>
      </c>
      <c r="G52" s="7" t="n">
        <f aca="false">B52*가정!$B$28</f>
        <v>0</v>
      </c>
      <c r="H52" s="7" t="n">
        <f aca="false">B52-C52-E52-F52-G52</f>
        <v>2093000</v>
      </c>
      <c r="I52" s="7" t="n">
        <f aca="false">H52-IF(가정!$B$7=1,가정!$B$5,0)</f>
        <v>-1907000</v>
      </c>
      <c r="J52" s="7" t="n">
        <f aca="false">MAX(0,I52)*가정!$B$6</f>
        <v>0</v>
      </c>
      <c r="K52" s="7" t="n">
        <f aca="false">가정!$B$5+J52</f>
        <v>4000000</v>
      </c>
      <c r="L52" s="7" t="n">
        <f aca="false">H52-K52</f>
        <v>-1907000</v>
      </c>
      <c r="M52" s="8" t="n">
        <f aca="false">IF(B52=0,0,K52/B52)</f>
        <v>0.293470286133529</v>
      </c>
      <c r="N52" s="7" t="n">
        <f aca="false">K52/가정!$B$8</f>
        <v>20000</v>
      </c>
      <c r="O52" s="7" t="str">
        <f aca="false">IF(I52&gt;0,A52,"")</f>
        <v/>
      </c>
      <c r="P52" s="7" t="str">
        <f aca="false">IF(L52&gt;=0,A52,"")</f>
        <v/>
      </c>
      <c r="Q52" s="7" t="str">
        <f aca="false">IF(K52&gt;=가정!$B$32,A52,"")</f>
        <v/>
      </c>
      <c r="R52" s="7" t="str">
        <f aca="false">IF(MAX(0,I52)*(1-가정!$B$6)*'1억 상환'!$B$6&gt;='1억 상환'!$B$5,A52,"")</f>
        <v/>
      </c>
    </row>
    <row r="53" customFormat="false" ht="15" hidden="false" customHeight="false" outlineLevel="0" collapsed="false">
      <c r="A53" s="7" t="n">
        <v>48</v>
      </c>
      <c r="B53" s="7" t="n">
        <f aca="false">A53*가정!$B$10</f>
        <v>13920000</v>
      </c>
      <c r="C53" s="7" t="n">
        <f aca="false">가정!$B$34</f>
        <v>3590000</v>
      </c>
      <c r="D53" s="7" t="n">
        <f aca="false">ROUNDUP(MAX(0,A53-가정!$B$18)/가정!$B$19,0)</f>
        <v>1</v>
      </c>
      <c r="E53" s="7" t="n">
        <f aca="false">D53*가정!$B$20+ROUNDUP(A53/가정!$B$22,0)*가정!$B$21+ROUNDUP(A53/가정!$B$24,0)*가정!$B$23</f>
        <v>7900000</v>
      </c>
      <c r="F53" s="7" t="n">
        <f aca="false">A53*가정!$B$26+B53*가정!$B$27</f>
        <v>48000</v>
      </c>
      <c r="G53" s="7" t="n">
        <f aca="false">B53*가정!$B$28</f>
        <v>0</v>
      </c>
      <c r="H53" s="7" t="n">
        <f aca="false">B53-C53-E53-F53-G53</f>
        <v>2382000</v>
      </c>
      <c r="I53" s="7" t="n">
        <f aca="false">H53-IF(가정!$B$7=1,가정!$B$5,0)</f>
        <v>-1618000</v>
      </c>
      <c r="J53" s="7" t="n">
        <f aca="false">MAX(0,I53)*가정!$B$6</f>
        <v>0</v>
      </c>
      <c r="K53" s="7" t="n">
        <f aca="false">가정!$B$5+J53</f>
        <v>4000000</v>
      </c>
      <c r="L53" s="7" t="n">
        <f aca="false">H53-K53</f>
        <v>-1618000</v>
      </c>
      <c r="M53" s="8" t="n">
        <f aca="false">IF(B53=0,0,K53/B53)</f>
        <v>0.28735632183908</v>
      </c>
      <c r="N53" s="7" t="n">
        <f aca="false">K53/가정!$B$8</f>
        <v>20000</v>
      </c>
      <c r="O53" s="7" t="str">
        <f aca="false">IF(I53&gt;0,A53,"")</f>
        <v/>
      </c>
      <c r="P53" s="7" t="str">
        <f aca="false">IF(L53&gt;=0,A53,"")</f>
        <v/>
      </c>
      <c r="Q53" s="7" t="str">
        <f aca="false">IF(K53&gt;=가정!$B$32,A53,"")</f>
        <v/>
      </c>
      <c r="R53" s="7" t="str">
        <f aca="false">IF(MAX(0,I53)*(1-가정!$B$6)*'1억 상환'!$B$6&gt;='1억 상환'!$B$5,A53,"")</f>
        <v/>
      </c>
    </row>
    <row r="54" customFormat="false" ht="15" hidden="false" customHeight="false" outlineLevel="0" collapsed="false">
      <c r="A54" s="7" t="n">
        <v>49</v>
      </c>
      <c r="B54" s="7" t="n">
        <f aca="false">A54*가정!$B$10</f>
        <v>14210000</v>
      </c>
      <c r="C54" s="7" t="n">
        <f aca="false">가정!$B$34</f>
        <v>3590000</v>
      </c>
      <c r="D54" s="7" t="n">
        <f aca="false">ROUNDUP(MAX(0,A54-가정!$B$18)/가정!$B$19,0)</f>
        <v>1</v>
      </c>
      <c r="E54" s="7" t="n">
        <f aca="false">D54*가정!$B$20+ROUNDUP(A54/가정!$B$22,0)*가정!$B$21+ROUNDUP(A54/가정!$B$24,0)*가정!$B$23</f>
        <v>7900000</v>
      </c>
      <c r="F54" s="7" t="n">
        <f aca="false">A54*가정!$B$26+B54*가정!$B$27</f>
        <v>49000</v>
      </c>
      <c r="G54" s="7" t="n">
        <f aca="false">B54*가정!$B$28</f>
        <v>0</v>
      </c>
      <c r="H54" s="7" t="n">
        <f aca="false">B54-C54-E54-F54-G54</f>
        <v>2671000</v>
      </c>
      <c r="I54" s="7" t="n">
        <f aca="false">H54-IF(가정!$B$7=1,가정!$B$5,0)</f>
        <v>-1329000</v>
      </c>
      <c r="J54" s="7" t="n">
        <f aca="false">MAX(0,I54)*가정!$B$6</f>
        <v>0</v>
      </c>
      <c r="K54" s="7" t="n">
        <f aca="false">가정!$B$5+J54</f>
        <v>4000000</v>
      </c>
      <c r="L54" s="7" t="n">
        <f aca="false">H54-K54</f>
        <v>-1329000</v>
      </c>
      <c r="M54" s="8" t="n">
        <f aca="false">IF(B54=0,0,K54/B54)</f>
        <v>0.281491907107671</v>
      </c>
      <c r="N54" s="7" t="n">
        <f aca="false">K54/가정!$B$8</f>
        <v>20000</v>
      </c>
      <c r="O54" s="7" t="str">
        <f aca="false">IF(I54&gt;0,A54,"")</f>
        <v/>
      </c>
      <c r="P54" s="7" t="str">
        <f aca="false">IF(L54&gt;=0,A54,"")</f>
        <v/>
      </c>
      <c r="Q54" s="7" t="str">
        <f aca="false">IF(K54&gt;=가정!$B$32,A54,"")</f>
        <v/>
      </c>
      <c r="R54" s="7" t="str">
        <f aca="false">IF(MAX(0,I54)*(1-가정!$B$6)*'1억 상환'!$B$6&gt;='1억 상환'!$B$5,A54,"")</f>
        <v/>
      </c>
    </row>
    <row r="55" customFormat="false" ht="15" hidden="false" customHeight="false" outlineLevel="0" collapsed="false">
      <c r="A55" s="7" t="n">
        <v>50</v>
      </c>
      <c r="B55" s="7" t="n">
        <f aca="false">A55*가정!$B$10</f>
        <v>14500000</v>
      </c>
      <c r="C55" s="7" t="n">
        <f aca="false">가정!$B$34</f>
        <v>3590000</v>
      </c>
      <c r="D55" s="7" t="n">
        <f aca="false">ROUNDUP(MAX(0,A55-가정!$B$18)/가정!$B$19,0)</f>
        <v>1</v>
      </c>
      <c r="E55" s="7" t="n">
        <f aca="false">D55*가정!$B$20+ROUNDUP(A55/가정!$B$22,0)*가정!$B$21+ROUNDUP(A55/가정!$B$24,0)*가정!$B$23</f>
        <v>7900000</v>
      </c>
      <c r="F55" s="7" t="n">
        <f aca="false">A55*가정!$B$26+B55*가정!$B$27</f>
        <v>50000</v>
      </c>
      <c r="G55" s="7" t="n">
        <f aca="false">B55*가정!$B$28</f>
        <v>0</v>
      </c>
      <c r="H55" s="7" t="n">
        <f aca="false">B55-C55-E55-F55-G55</f>
        <v>2960000</v>
      </c>
      <c r="I55" s="7" t="n">
        <f aca="false">H55-IF(가정!$B$7=1,가정!$B$5,0)</f>
        <v>-1040000</v>
      </c>
      <c r="J55" s="7" t="n">
        <f aca="false">MAX(0,I55)*가정!$B$6</f>
        <v>0</v>
      </c>
      <c r="K55" s="7" t="n">
        <f aca="false">가정!$B$5+J55</f>
        <v>4000000</v>
      </c>
      <c r="L55" s="7" t="n">
        <f aca="false">H55-K55</f>
        <v>-1040000</v>
      </c>
      <c r="M55" s="8" t="n">
        <f aca="false">IF(B55=0,0,K55/B55)</f>
        <v>0.275862068965517</v>
      </c>
      <c r="N55" s="7" t="n">
        <f aca="false">K55/가정!$B$8</f>
        <v>20000</v>
      </c>
      <c r="O55" s="7" t="str">
        <f aca="false">IF(I55&gt;0,A55,"")</f>
        <v/>
      </c>
      <c r="P55" s="7" t="str">
        <f aca="false">IF(L55&gt;=0,A55,"")</f>
        <v/>
      </c>
      <c r="Q55" s="7" t="str">
        <f aca="false">IF(K55&gt;=가정!$B$32,A55,"")</f>
        <v/>
      </c>
      <c r="R55" s="7" t="str">
        <f aca="false">IF(MAX(0,I55)*(1-가정!$B$6)*'1억 상환'!$B$6&gt;='1억 상환'!$B$5,A55,"")</f>
        <v/>
      </c>
    </row>
    <row r="56" customFormat="false" ht="15" hidden="false" customHeight="false" outlineLevel="0" collapsed="false">
      <c r="A56" s="7" t="n">
        <v>51</v>
      </c>
      <c r="B56" s="7" t="n">
        <f aca="false">A56*가정!$B$10</f>
        <v>14790000</v>
      </c>
      <c r="C56" s="7" t="n">
        <f aca="false">가정!$B$34</f>
        <v>3590000</v>
      </c>
      <c r="D56" s="7" t="n">
        <f aca="false">ROUNDUP(MAX(0,A56-가정!$B$18)/가정!$B$19,0)</f>
        <v>1</v>
      </c>
      <c r="E56" s="7" t="n">
        <f aca="false">D56*가정!$B$20+ROUNDUP(A56/가정!$B$22,0)*가정!$B$21+ROUNDUP(A56/가정!$B$24,0)*가정!$B$23</f>
        <v>7900000</v>
      </c>
      <c r="F56" s="7" t="n">
        <f aca="false">A56*가정!$B$26+B56*가정!$B$27</f>
        <v>51000</v>
      </c>
      <c r="G56" s="7" t="n">
        <f aca="false">B56*가정!$B$28</f>
        <v>0</v>
      </c>
      <c r="H56" s="7" t="n">
        <f aca="false">B56-C56-E56-F56-G56</f>
        <v>3249000</v>
      </c>
      <c r="I56" s="7" t="n">
        <f aca="false">H56-IF(가정!$B$7=1,가정!$B$5,0)</f>
        <v>-751000</v>
      </c>
      <c r="J56" s="7" t="n">
        <f aca="false">MAX(0,I56)*가정!$B$6</f>
        <v>0</v>
      </c>
      <c r="K56" s="7" t="n">
        <f aca="false">가정!$B$5+J56</f>
        <v>4000000</v>
      </c>
      <c r="L56" s="7" t="n">
        <f aca="false">H56-K56</f>
        <v>-751000</v>
      </c>
      <c r="M56" s="8" t="n">
        <f aca="false">IF(B56=0,0,K56/B56)</f>
        <v>0.270453008789723</v>
      </c>
      <c r="N56" s="7" t="n">
        <f aca="false">K56/가정!$B$8</f>
        <v>20000</v>
      </c>
      <c r="O56" s="7" t="str">
        <f aca="false">IF(I56&gt;0,A56,"")</f>
        <v/>
      </c>
      <c r="P56" s="7" t="str">
        <f aca="false">IF(L56&gt;=0,A56,"")</f>
        <v/>
      </c>
      <c r="Q56" s="7" t="str">
        <f aca="false">IF(K56&gt;=가정!$B$32,A56,"")</f>
        <v/>
      </c>
      <c r="R56" s="7" t="str">
        <f aca="false">IF(MAX(0,I56)*(1-가정!$B$6)*'1억 상환'!$B$6&gt;='1억 상환'!$B$5,A56,"")</f>
        <v/>
      </c>
    </row>
    <row r="57" customFormat="false" ht="15" hidden="false" customHeight="false" outlineLevel="0" collapsed="false">
      <c r="A57" s="7" t="n">
        <v>52</v>
      </c>
      <c r="B57" s="7" t="n">
        <f aca="false">A57*가정!$B$10</f>
        <v>15080000</v>
      </c>
      <c r="C57" s="7" t="n">
        <f aca="false">가정!$B$34</f>
        <v>3590000</v>
      </c>
      <c r="D57" s="7" t="n">
        <f aca="false">ROUNDUP(MAX(0,A57-가정!$B$18)/가정!$B$19,0)</f>
        <v>1</v>
      </c>
      <c r="E57" s="7" t="n">
        <f aca="false">D57*가정!$B$20+ROUNDUP(A57/가정!$B$22,0)*가정!$B$21+ROUNDUP(A57/가정!$B$24,0)*가정!$B$23</f>
        <v>7900000</v>
      </c>
      <c r="F57" s="7" t="n">
        <f aca="false">A57*가정!$B$26+B57*가정!$B$27</f>
        <v>52000</v>
      </c>
      <c r="G57" s="7" t="n">
        <f aca="false">B57*가정!$B$28</f>
        <v>0</v>
      </c>
      <c r="H57" s="7" t="n">
        <f aca="false">B57-C57-E57-F57-G57</f>
        <v>3538000</v>
      </c>
      <c r="I57" s="7" t="n">
        <f aca="false">H57-IF(가정!$B$7=1,가정!$B$5,0)</f>
        <v>-462000</v>
      </c>
      <c r="J57" s="7" t="n">
        <f aca="false">MAX(0,I57)*가정!$B$6</f>
        <v>0</v>
      </c>
      <c r="K57" s="7" t="n">
        <f aca="false">가정!$B$5+J57</f>
        <v>4000000</v>
      </c>
      <c r="L57" s="7" t="n">
        <f aca="false">H57-K57</f>
        <v>-462000</v>
      </c>
      <c r="M57" s="8" t="n">
        <f aca="false">IF(B57=0,0,K57/B57)</f>
        <v>0.26525198938992</v>
      </c>
      <c r="N57" s="7" t="n">
        <f aca="false">K57/가정!$B$8</f>
        <v>20000</v>
      </c>
      <c r="O57" s="7" t="str">
        <f aca="false">IF(I57&gt;0,A57,"")</f>
        <v/>
      </c>
      <c r="P57" s="7" t="str">
        <f aca="false">IF(L57&gt;=0,A57,"")</f>
        <v/>
      </c>
      <c r="Q57" s="7" t="str">
        <f aca="false">IF(K57&gt;=가정!$B$32,A57,"")</f>
        <v/>
      </c>
      <c r="R57" s="7" t="str">
        <f aca="false">IF(MAX(0,I57)*(1-가정!$B$6)*'1억 상환'!$B$6&gt;='1억 상환'!$B$5,A57,"")</f>
        <v/>
      </c>
    </row>
    <row r="58" customFormat="false" ht="15" hidden="false" customHeight="false" outlineLevel="0" collapsed="false">
      <c r="A58" s="7" t="n">
        <v>53</v>
      </c>
      <c r="B58" s="7" t="n">
        <f aca="false">A58*가정!$B$10</f>
        <v>15370000</v>
      </c>
      <c r="C58" s="7" t="n">
        <f aca="false">가정!$B$34</f>
        <v>3590000</v>
      </c>
      <c r="D58" s="7" t="n">
        <f aca="false">ROUNDUP(MAX(0,A58-가정!$B$18)/가정!$B$19,0)</f>
        <v>1</v>
      </c>
      <c r="E58" s="7" t="n">
        <f aca="false">D58*가정!$B$20+ROUNDUP(A58/가정!$B$22,0)*가정!$B$21+ROUNDUP(A58/가정!$B$24,0)*가정!$B$23</f>
        <v>7900000</v>
      </c>
      <c r="F58" s="7" t="n">
        <f aca="false">A58*가정!$B$26+B58*가정!$B$27</f>
        <v>53000</v>
      </c>
      <c r="G58" s="7" t="n">
        <f aca="false">B58*가정!$B$28</f>
        <v>0</v>
      </c>
      <c r="H58" s="7" t="n">
        <f aca="false">B58-C58-E58-F58-G58</f>
        <v>3827000</v>
      </c>
      <c r="I58" s="7" t="n">
        <f aca="false">H58-IF(가정!$B$7=1,가정!$B$5,0)</f>
        <v>-173000</v>
      </c>
      <c r="J58" s="7" t="n">
        <f aca="false">MAX(0,I58)*가정!$B$6</f>
        <v>0</v>
      </c>
      <c r="K58" s="7" t="n">
        <f aca="false">가정!$B$5+J58</f>
        <v>4000000</v>
      </c>
      <c r="L58" s="7" t="n">
        <f aca="false">H58-K58</f>
        <v>-173000</v>
      </c>
      <c r="M58" s="8" t="n">
        <f aca="false">IF(B58=0,0,K58/B58)</f>
        <v>0.260247234873129</v>
      </c>
      <c r="N58" s="7" t="n">
        <f aca="false">K58/가정!$B$8</f>
        <v>20000</v>
      </c>
      <c r="O58" s="7" t="str">
        <f aca="false">IF(I58&gt;0,A58,"")</f>
        <v/>
      </c>
      <c r="P58" s="7" t="str">
        <f aca="false">IF(L58&gt;=0,A58,"")</f>
        <v/>
      </c>
      <c r="Q58" s="7" t="str">
        <f aca="false">IF(K58&gt;=가정!$B$32,A58,"")</f>
        <v/>
      </c>
      <c r="R58" s="7" t="str">
        <f aca="false">IF(MAX(0,I58)*(1-가정!$B$6)*'1억 상환'!$B$6&gt;='1억 상환'!$B$5,A58,"")</f>
        <v/>
      </c>
    </row>
    <row r="59" customFormat="false" ht="15" hidden="false" customHeight="false" outlineLevel="0" collapsed="false">
      <c r="A59" s="7" t="n">
        <v>54</v>
      </c>
      <c r="B59" s="7" t="n">
        <f aca="false">A59*가정!$B$10</f>
        <v>15660000</v>
      </c>
      <c r="C59" s="7" t="n">
        <f aca="false">가정!$B$34</f>
        <v>3590000</v>
      </c>
      <c r="D59" s="7" t="n">
        <f aca="false">ROUNDUP(MAX(0,A59-가정!$B$18)/가정!$B$19,0)</f>
        <v>1</v>
      </c>
      <c r="E59" s="7" t="n">
        <f aca="false">D59*가정!$B$20+ROUNDUP(A59/가정!$B$22,0)*가정!$B$21+ROUNDUP(A59/가정!$B$24,0)*가정!$B$23</f>
        <v>7900000</v>
      </c>
      <c r="F59" s="7" t="n">
        <f aca="false">A59*가정!$B$26+B59*가정!$B$27</f>
        <v>54000</v>
      </c>
      <c r="G59" s="7" t="n">
        <f aca="false">B59*가정!$B$28</f>
        <v>0</v>
      </c>
      <c r="H59" s="7" t="n">
        <f aca="false">B59-C59-E59-F59-G59</f>
        <v>4116000</v>
      </c>
      <c r="I59" s="7" t="n">
        <f aca="false">H59-IF(가정!$B$7=1,가정!$B$5,0)</f>
        <v>116000</v>
      </c>
      <c r="J59" s="7" t="n">
        <f aca="false">MAX(0,I59)*가정!$B$6</f>
        <v>104400</v>
      </c>
      <c r="K59" s="7" t="n">
        <f aca="false">가정!$B$5+J59</f>
        <v>4104400</v>
      </c>
      <c r="L59" s="7" t="n">
        <f aca="false">H59-K59</f>
        <v>11600</v>
      </c>
      <c r="M59" s="8" t="n">
        <f aca="false">IF(B59=0,0,K59/B59)</f>
        <v>0.262094508301405</v>
      </c>
      <c r="N59" s="7" t="n">
        <f aca="false">K59/가정!$B$8</f>
        <v>20522</v>
      </c>
      <c r="O59" s="7" t="n">
        <f aca="false">IF(I59&gt;0,A59,"")</f>
        <v>54</v>
      </c>
      <c r="P59" s="7" t="n">
        <f aca="false">IF(L59&gt;=0,A59,"")</f>
        <v>54</v>
      </c>
      <c r="Q59" s="7" t="str">
        <f aca="false">IF(K59&gt;=가정!$B$32,A59,"")</f>
        <v/>
      </c>
      <c r="R59" s="7" t="str">
        <f aca="false">IF(MAX(0,I59)*(1-가정!$B$6)*'1억 상환'!$B$6&gt;='1억 상환'!$B$5,A59,"")</f>
        <v/>
      </c>
    </row>
    <row r="60" customFormat="false" ht="15" hidden="false" customHeight="false" outlineLevel="0" collapsed="false">
      <c r="A60" s="7" t="n">
        <v>55</v>
      </c>
      <c r="B60" s="7" t="n">
        <f aca="false">A60*가정!$B$10</f>
        <v>15950000</v>
      </c>
      <c r="C60" s="7" t="n">
        <f aca="false">가정!$B$34</f>
        <v>3590000</v>
      </c>
      <c r="D60" s="7" t="n">
        <f aca="false">ROUNDUP(MAX(0,A60-가정!$B$18)/가정!$B$19,0)</f>
        <v>1</v>
      </c>
      <c r="E60" s="7" t="n">
        <f aca="false">D60*가정!$B$20+ROUNDUP(A60/가정!$B$22,0)*가정!$B$21+ROUNDUP(A60/가정!$B$24,0)*가정!$B$23</f>
        <v>7900000</v>
      </c>
      <c r="F60" s="7" t="n">
        <f aca="false">A60*가정!$B$26+B60*가정!$B$27</f>
        <v>55000</v>
      </c>
      <c r="G60" s="7" t="n">
        <f aca="false">B60*가정!$B$28</f>
        <v>0</v>
      </c>
      <c r="H60" s="7" t="n">
        <f aca="false">B60-C60-E60-F60-G60</f>
        <v>4405000</v>
      </c>
      <c r="I60" s="7" t="n">
        <f aca="false">H60-IF(가정!$B$7=1,가정!$B$5,0)</f>
        <v>405000</v>
      </c>
      <c r="J60" s="7" t="n">
        <f aca="false">MAX(0,I60)*가정!$B$6</f>
        <v>364500</v>
      </c>
      <c r="K60" s="7" t="n">
        <f aca="false">가정!$B$5+J60</f>
        <v>4364500</v>
      </c>
      <c r="L60" s="7" t="n">
        <f aca="false">H60-K60</f>
        <v>40500</v>
      </c>
      <c r="M60" s="8" t="n">
        <f aca="false">IF(B60=0,0,K60/B60)</f>
        <v>0.273636363636364</v>
      </c>
      <c r="N60" s="7" t="n">
        <f aca="false">K60/가정!$B$8</f>
        <v>21822.5</v>
      </c>
      <c r="O60" s="7" t="n">
        <f aca="false">IF(I60&gt;0,A60,"")</f>
        <v>55</v>
      </c>
      <c r="P60" s="7" t="n">
        <f aca="false">IF(L60&gt;=0,A60,"")</f>
        <v>55</v>
      </c>
      <c r="Q60" s="7" t="str">
        <f aca="false">IF(K60&gt;=가정!$B$32,A60,"")</f>
        <v/>
      </c>
      <c r="R60" s="7" t="str">
        <f aca="false">IF(MAX(0,I60)*(1-가정!$B$6)*'1억 상환'!$B$6&gt;='1억 상환'!$B$5,A60,"")</f>
        <v/>
      </c>
    </row>
    <row r="61" customFormat="false" ht="15" hidden="false" customHeight="false" outlineLevel="0" collapsed="false">
      <c r="A61" s="7" t="n">
        <v>56</v>
      </c>
      <c r="B61" s="7" t="n">
        <f aca="false">A61*가정!$B$10</f>
        <v>16240000</v>
      </c>
      <c r="C61" s="7" t="n">
        <f aca="false">가정!$B$34</f>
        <v>3590000</v>
      </c>
      <c r="D61" s="7" t="n">
        <f aca="false">ROUNDUP(MAX(0,A61-가정!$B$18)/가정!$B$19,0)</f>
        <v>1</v>
      </c>
      <c r="E61" s="7" t="n">
        <f aca="false">D61*가정!$B$20+ROUNDUP(A61/가정!$B$22,0)*가정!$B$21+ROUNDUP(A61/가정!$B$24,0)*가정!$B$23</f>
        <v>7900000</v>
      </c>
      <c r="F61" s="7" t="n">
        <f aca="false">A61*가정!$B$26+B61*가정!$B$27</f>
        <v>56000</v>
      </c>
      <c r="G61" s="7" t="n">
        <f aca="false">B61*가정!$B$28</f>
        <v>0</v>
      </c>
      <c r="H61" s="7" t="n">
        <f aca="false">B61-C61-E61-F61-G61</f>
        <v>4694000</v>
      </c>
      <c r="I61" s="7" t="n">
        <f aca="false">H61-IF(가정!$B$7=1,가정!$B$5,0)</f>
        <v>694000</v>
      </c>
      <c r="J61" s="7" t="n">
        <f aca="false">MAX(0,I61)*가정!$B$6</f>
        <v>624600</v>
      </c>
      <c r="K61" s="7" t="n">
        <f aca="false">가정!$B$5+J61</f>
        <v>4624600</v>
      </c>
      <c r="L61" s="7" t="n">
        <f aca="false">H61-K61</f>
        <v>69400</v>
      </c>
      <c r="M61" s="8" t="n">
        <f aca="false">IF(B61=0,0,K61/B61)</f>
        <v>0.284766009852217</v>
      </c>
      <c r="N61" s="7" t="n">
        <f aca="false">K61/가정!$B$8</f>
        <v>23123</v>
      </c>
      <c r="O61" s="7" t="n">
        <f aca="false">IF(I61&gt;0,A61,"")</f>
        <v>56</v>
      </c>
      <c r="P61" s="7" t="n">
        <f aca="false">IF(L61&gt;=0,A61,"")</f>
        <v>56</v>
      </c>
      <c r="Q61" s="7" t="str">
        <f aca="false">IF(K61&gt;=가정!$B$32,A61,"")</f>
        <v/>
      </c>
      <c r="R61" s="7" t="str">
        <f aca="false">IF(MAX(0,I61)*(1-가정!$B$6)*'1억 상환'!$B$6&gt;='1억 상환'!$B$5,A61,"")</f>
        <v/>
      </c>
    </row>
    <row r="62" customFormat="false" ht="15" hidden="false" customHeight="false" outlineLevel="0" collapsed="false">
      <c r="A62" s="7" t="n">
        <v>57</v>
      </c>
      <c r="B62" s="7" t="n">
        <f aca="false">A62*가정!$B$10</f>
        <v>16530000</v>
      </c>
      <c r="C62" s="7" t="n">
        <f aca="false">가정!$B$34</f>
        <v>3590000</v>
      </c>
      <c r="D62" s="7" t="n">
        <f aca="false">ROUNDUP(MAX(0,A62-가정!$B$18)/가정!$B$19,0)</f>
        <v>1</v>
      </c>
      <c r="E62" s="7" t="n">
        <f aca="false">D62*가정!$B$20+ROUNDUP(A62/가정!$B$22,0)*가정!$B$21+ROUNDUP(A62/가정!$B$24,0)*가정!$B$23</f>
        <v>7900000</v>
      </c>
      <c r="F62" s="7" t="n">
        <f aca="false">A62*가정!$B$26+B62*가정!$B$27</f>
        <v>57000</v>
      </c>
      <c r="G62" s="7" t="n">
        <f aca="false">B62*가정!$B$28</f>
        <v>0</v>
      </c>
      <c r="H62" s="7" t="n">
        <f aca="false">B62-C62-E62-F62-G62</f>
        <v>4983000</v>
      </c>
      <c r="I62" s="7" t="n">
        <f aca="false">H62-IF(가정!$B$7=1,가정!$B$5,0)</f>
        <v>983000</v>
      </c>
      <c r="J62" s="7" t="n">
        <f aca="false">MAX(0,I62)*가정!$B$6</f>
        <v>884700</v>
      </c>
      <c r="K62" s="7" t="n">
        <f aca="false">가정!$B$5+J62</f>
        <v>4884700</v>
      </c>
      <c r="L62" s="7" t="n">
        <f aca="false">H62-K62</f>
        <v>98300</v>
      </c>
      <c r="M62" s="8" t="n">
        <f aca="false">IF(B62=0,0,K62/B62)</f>
        <v>0.295505142165759</v>
      </c>
      <c r="N62" s="7" t="n">
        <f aca="false">K62/가정!$B$8</f>
        <v>24423.5</v>
      </c>
      <c r="O62" s="7" t="n">
        <f aca="false">IF(I62&gt;0,A62,"")</f>
        <v>57</v>
      </c>
      <c r="P62" s="7" t="n">
        <f aca="false">IF(L62&gt;=0,A62,"")</f>
        <v>57</v>
      </c>
      <c r="Q62" s="7" t="str">
        <f aca="false">IF(K62&gt;=가정!$B$32,A62,"")</f>
        <v/>
      </c>
      <c r="R62" s="7" t="str">
        <f aca="false">IF(MAX(0,I62)*(1-가정!$B$6)*'1억 상환'!$B$6&gt;='1억 상환'!$B$5,A62,"")</f>
        <v/>
      </c>
    </row>
    <row r="63" customFormat="false" ht="15" hidden="false" customHeight="false" outlineLevel="0" collapsed="false">
      <c r="A63" s="7" t="n">
        <v>58</v>
      </c>
      <c r="B63" s="7" t="n">
        <f aca="false">A63*가정!$B$10</f>
        <v>16820000</v>
      </c>
      <c r="C63" s="7" t="n">
        <f aca="false">가정!$B$34</f>
        <v>3590000</v>
      </c>
      <c r="D63" s="7" t="n">
        <f aca="false">ROUNDUP(MAX(0,A63-가정!$B$18)/가정!$B$19,0)</f>
        <v>1</v>
      </c>
      <c r="E63" s="7" t="n">
        <f aca="false">D63*가정!$B$20+ROUNDUP(A63/가정!$B$22,0)*가정!$B$21+ROUNDUP(A63/가정!$B$24,0)*가정!$B$23</f>
        <v>7900000</v>
      </c>
      <c r="F63" s="7" t="n">
        <f aca="false">A63*가정!$B$26+B63*가정!$B$27</f>
        <v>58000</v>
      </c>
      <c r="G63" s="7" t="n">
        <f aca="false">B63*가정!$B$28</f>
        <v>0</v>
      </c>
      <c r="H63" s="7" t="n">
        <f aca="false">B63-C63-E63-F63-G63</f>
        <v>5272000</v>
      </c>
      <c r="I63" s="7" t="n">
        <f aca="false">H63-IF(가정!$B$7=1,가정!$B$5,0)</f>
        <v>1272000</v>
      </c>
      <c r="J63" s="7" t="n">
        <f aca="false">MAX(0,I63)*가정!$B$6</f>
        <v>1144800</v>
      </c>
      <c r="K63" s="7" t="n">
        <f aca="false">가정!$B$5+J63</f>
        <v>5144800</v>
      </c>
      <c r="L63" s="7" t="n">
        <f aca="false">H63-K63</f>
        <v>127200</v>
      </c>
      <c r="M63" s="8" t="n">
        <f aca="false">IF(B63=0,0,K63/B63)</f>
        <v>0.305873959571938</v>
      </c>
      <c r="N63" s="7" t="n">
        <f aca="false">K63/가정!$B$8</f>
        <v>25724</v>
      </c>
      <c r="O63" s="7" t="n">
        <f aca="false">IF(I63&gt;0,A63,"")</f>
        <v>58</v>
      </c>
      <c r="P63" s="7" t="n">
        <f aca="false">IF(L63&gt;=0,A63,"")</f>
        <v>58</v>
      </c>
      <c r="Q63" s="7" t="str">
        <f aca="false">IF(K63&gt;=가정!$B$32,A63,"")</f>
        <v/>
      </c>
      <c r="R63" s="7" t="str">
        <f aca="false">IF(MAX(0,I63)*(1-가정!$B$6)*'1억 상환'!$B$6&gt;='1억 상환'!$B$5,A63,"")</f>
        <v/>
      </c>
    </row>
    <row r="64" customFormat="false" ht="15" hidden="false" customHeight="false" outlineLevel="0" collapsed="false">
      <c r="A64" s="7" t="n">
        <v>59</v>
      </c>
      <c r="B64" s="7" t="n">
        <f aca="false">A64*가정!$B$10</f>
        <v>17110000</v>
      </c>
      <c r="C64" s="7" t="n">
        <f aca="false">가정!$B$34</f>
        <v>3590000</v>
      </c>
      <c r="D64" s="7" t="n">
        <f aca="false">ROUNDUP(MAX(0,A64-가정!$B$18)/가정!$B$19,0)</f>
        <v>1</v>
      </c>
      <c r="E64" s="7" t="n">
        <f aca="false">D64*가정!$B$20+ROUNDUP(A64/가정!$B$22,0)*가정!$B$21+ROUNDUP(A64/가정!$B$24,0)*가정!$B$23</f>
        <v>7900000</v>
      </c>
      <c r="F64" s="7" t="n">
        <f aca="false">A64*가정!$B$26+B64*가정!$B$27</f>
        <v>59000</v>
      </c>
      <c r="G64" s="7" t="n">
        <f aca="false">B64*가정!$B$28</f>
        <v>0</v>
      </c>
      <c r="H64" s="7" t="n">
        <f aca="false">B64-C64-E64-F64-G64</f>
        <v>5561000</v>
      </c>
      <c r="I64" s="7" t="n">
        <f aca="false">H64-IF(가정!$B$7=1,가정!$B$5,0)</f>
        <v>1561000</v>
      </c>
      <c r="J64" s="7" t="n">
        <f aca="false">MAX(0,I64)*가정!$B$6</f>
        <v>1404900</v>
      </c>
      <c r="K64" s="7" t="n">
        <f aca="false">가정!$B$5+J64</f>
        <v>5404900</v>
      </c>
      <c r="L64" s="7" t="n">
        <f aca="false">H64-K64</f>
        <v>156100</v>
      </c>
      <c r="M64" s="8" t="n">
        <f aca="false">IF(B64=0,0,K64/B64)</f>
        <v>0.315891291642314</v>
      </c>
      <c r="N64" s="7" t="n">
        <f aca="false">K64/가정!$B$8</f>
        <v>27024.5</v>
      </c>
      <c r="O64" s="7" t="n">
        <f aca="false">IF(I64&gt;0,A64,"")</f>
        <v>59</v>
      </c>
      <c r="P64" s="7" t="n">
        <f aca="false">IF(L64&gt;=0,A64,"")</f>
        <v>59</v>
      </c>
      <c r="Q64" s="7" t="str">
        <f aca="false">IF(K64&gt;=가정!$B$32,A64,"")</f>
        <v/>
      </c>
      <c r="R64" s="7" t="str">
        <f aca="false">IF(MAX(0,I64)*(1-가정!$B$6)*'1억 상환'!$B$6&gt;='1억 상환'!$B$5,A64,"")</f>
        <v/>
      </c>
    </row>
    <row r="65" customFormat="false" ht="15" hidden="false" customHeight="false" outlineLevel="0" collapsed="false">
      <c r="A65" s="7" t="n">
        <v>60</v>
      </c>
      <c r="B65" s="7" t="n">
        <f aca="false">A65*가정!$B$10</f>
        <v>17400000</v>
      </c>
      <c r="C65" s="7" t="n">
        <f aca="false">가정!$B$34</f>
        <v>3590000</v>
      </c>
      <c r="D65" s="7" t="n">
        <f aca="false">ROUNDUP(MAX(0,A65-가정!$B$18)/가정!$B$19,0)</f>
        <v>1</v>
      </c>
      <c r="E65" s="7" t="n">
        <f aca="false">D65*가정!$B$20+ROUNDUP(A65/가정!$B$22,0)*가정!$B$21+ROUNDUP(A65/가정!$B$24,0)*가정!$B$23</f>
        <v>7900000</v>
      </c>
      <c r="F65" s="7" t="n">
        <f aca="false">A65*가정!$B$26+B65*가정!$B$27</f>
        <v>60000</v>
      </c>
      <c r="G65" s="7" t="n">
        <f aca="false">B65*가정!$B$28</f>
        <v>0</v>
      </c>
      <c r="H65" s="7" t="n">
        <f aca="false">B65-C65-E65-F65-G65</f>
        <v>5850000</v>
      </c>
      <c r="I65" s="7" t="n">
        <f aca="false">H65-IF(가정!$B$7=1,가정!$B$5,0)</f>
        <v>1850000</v>
      </c>
      <c r="J65" s="7" t="n">
        <f aca="false">MAX(0,I65)*가정!$B$6</f>
        <v>1665000</v>
      </c>
      <c r="K65" s="7" t="n">
        <f aca="false">가정!$B$5+J65</f>
        <v>5665000</v>
      </c>
      <c r="L65" s="7" t="n">
        <f aca="false">H65-K65</f>
        <v>185000</v>
      </c>
      <c r="M65" s="8" t="n">
        <f aca="false">IF(B65=0,0,K65/B65)</f>
        <v>0.325574712643678</v>
      </c>
      <c r="N65" s="7" t="n">
        <f aca="false">K65/가정!$B$8</f>
        <v>28325</v>
      </c>
      <c r="O65" s="7" t="n">
        <f aca="false">IF(I65&gt;0,A65,"")</f>
        <v>60</v>
      </c>
      <c r="P65" s="7" t="n">
        <f aca="false">IF(L65&gt;=0,A65,"")</f>
        <v>60</v>
      </c>
      <c r="Q65" s="7" t="str">
        <f aca="false">IF(K65&gt;=가정!$B$32,A65,"")</f>
        <v/>
      </c>
      <c r="R65" s="7" t="str">
        <f aca="false">IF(MAX(0,I65)*(1-가정!$B$6)*'1억 상환'!$B$6&gt;='1억 상환'!$B$5,A65,"")</f>
        <v/>
      </c>
    </row>
    <row r="66" customFormat="false" ht="15" hidden="false" customHeight="false" outlineLevel="0" collapsed="false">
      <c r="A66" s="7" t="n">
        <v>61</v>
      </c>
      <c r="B66" s="7" t="n">
        <f aca="false">A66*가정!$B$10</f>
        <v>17690000</v>
      </c>
      <c r="C66" s="7" t="n">
        <f aca="false">가정!$B$34</f>
        <v>3590000</v>
      </c>
      <c r="D66" s="7" t="n">
        <f aca="false">ROUNDUP(MAX(0,A66-가정!$B$18)/가정!$B$19,0)</f>
        <v>2</v>
      </c>
      <c r="E66" s="7" t="n">
        <f aca="false">D66*가정!$B$20+ROUNDUP(A66/가정!$B$22,0)*가정!$B$21+ROUNDUP(A66/가정!$B$24,0)*가정!$B$23</f>
        <v>12400000</v>
      </c>
      <c r="F66" s="7" t="n">
        <f aca="false">A66*가정!$B$26+B66*가정!$B$27</f>
        <v>61000</v>
      </c>
      <c r="G66" s="7" t="n">
        <f aca="false">B66*가정!$B$28</f>
        <v>0</v>
      </c>
      <c r="H66" s="7" t="n">
        <f aca="false">B66-C66-E66-F66-G66</f>
        <v>1639000</v>
      </c>
      <c r="I66" s="7" t="n">
        <f aca="false">H66-IF(가정!$B$7=1,가정!$B$5,0)</f>
        <v>-2361000</v>
      </c>
      <c r="J66" s="7" t="n">
        <f aca="false">MAX(0,I66)*가정!$B$6</f>
        <v>0</v>
      </c>
      <c r="K66" s="7" t="n">
        <f aca="false">가정!$B$5+J66</f>
        <v>4000000</v>
      </c>
      <c r="L66" s="7" t="n">
        <f aca="false">H66-K66</f>
        <v>-2361000</v>
      </c>
      <c r="M66" s="8" t="n">
        <f aca="false">IF(B66=0,0,K66/B66)</f>
        <v>0.226116449971735</v>
      </c>
      <c r="N66" s="7" t="n">
        <f aca="false">K66/가정!$B$8</f>
        <v>20000</v>
      </c>
      <c r="O66" s="7" t="str">
        <f aca="false">IF(I66&gt;0,A66,"")</f>
        <v/>
      </c>
      <c r="P66" s="7" t="str">
        <f aca="false">IF(L66&gt;=0,A66,"")</f>
        <v/>
      </c>
      <c r="Q66" s="7" t="str">
        <f aca="false">IF(K66&gt;=가정!$B$32,A66,"")</f>
        <v/>
      </c>
      <c r="R66" s="7" t="str">
        <f aca="false">IF(MAX(0,I66)*(1-가정!$B$6)*'1억 상환'!$B$6&gt;='1억 상환'!$B$5,A66,"")</f>
        <v/>
      </c>
    </row>
    <row r="67" customFormat="false" ht="15" hidden="false" customHeight="false" outlineLevel="0" collapsed="false">
      <c r="A67" s="7" t="n">
        <v>62</v>
      </c>
      <c r="B67" s="7" t="n">
        <f aca="false">A67*가정!$B$10</f>
        <v>17980000</v>
      </c>
      <c r="C67" s="7" t="n">
        <f aca="false">가정!$B$34</f>
        <v>3590000</v>
      </c>
      <c r="D67" s="7" t="n">
        <f aca="false">ROUNDUP(MAX(0,A67-가정!$B$18)/가정!$B$19,0)</f>
        <v>2</v>
      </c>
      <c r="E67" s="7" t="n">
        <f aca="false">D67*가정!$B$20+ROUNDUP(A67/가정!$B$22,0)*가정!$B$21+ROUNDUP(A67/가정!$B$24,0)*가정!$B$23</f>
        <v>12400000</v>
      </c>
      <c r="F67" s="7" t="n">
        <f aca="false">A67*가정!$B$26+B67*가정!$B$27</f>
        <v>62000</v>
      </c>
      <c r="G67" s="7" t="n">
        <f aca="false">B67*가정!$B$28</f>
        <v>0</v>
      </c>
      <c r="H67" s="7" t="n">
        <f aca="false">B67-C67-E67-F67-G67</f>
        <v>1928000</v>
      </c>
      <c r="I67" s="7" t="n">
        <f aca="false">H67-IF(가정!$B$7=1,가정!$B$5,0)</f>
        <v>-2072000</v>
      </c>
      <c r="J67" s="7" t="n">
        <f aca="false">MAX(0,I67)*가정!$B$6</f>
        <v>0</v>
      </c>
      <c r="K67" s="7" t="n">
        <f aca="false">가정!$B$5+J67</f>
        <v>4000000</v>
      </c>
      <c r="L67" s="7" t="n">
        <f aca="false">H67-K67</f>
        <v>-2072000</v>
      </c>
      <c r="M67" s="8" t="n">
        <f aca="false">IF(B67=0,0,K67/B67)</f>
        <v>0.222469410456062</v>
      </c>
      <c r="N67" s="7" t="n">
        <f aca="false">K67/가정!$B$8</f>
        <v>20000</v>
      </c>
      <c r="O67" s="7" t="str">
        <f aca="false">IF(I67&gt;0,A67,"")</f>
        <v/>
      </c>
      <c r="P67" s="7" t="str">
        <f aca="false">IF(L67&gt;=0,A67,"")</f>
        <v/>
      </c>
      <c r="Q67" s="7" t="str">
        <f aca="false">IF(K67&gt;=가정!$B$32,A67,"")</f>
        <v/>
      </c>
      <c r="R67" s="7" t="str">
        <f aca="false">IF(MAX(0,I67)*(1-가정!$B$6)*'1억 상환'!$B$6&gt;='1억 상환'!$B$5,A67,"")</f>
        <v/>
      </c>
    </row>
    <row r="68" customFormat="false" ht="15" hidden="false" customHeight="false" outlineLevel="0" collapsed="false">
      <c r="A68" s="7" t="n">
        <v>63</v>
      </c>
      <c r="B68" s="7" t="n">
        <f aca="false">A68*가정!$B$10</f>
        <v>18270000</v>
      </c>
      <c r="C68" s="7" t="n">
        <f aca="false">가정!$B$34</f>
        <v>3590000</v>
      </c>
      <c r="D68" s="7" t="n">
        <f aca="false">ROUNDUP(MAX(0,A68-가정!$B$18)/가정!$B$19,0)</f>
        <v>2</v>
      </c>
      <c r="E68" s="7" t="n">
        <f aca="false">D68*가정!$B$20+ROUNDUP(A68/가정!$B$22,0)*가정!$B$21+ROUNDUP(A68/가정!$B$24,0)*가정!$B$23</f>
        <v>12400000</v>
      </c>
      <c r="F68" s="7" t="n">
        <f aca="false">A68*가정!$B$26+B68*가정!$B$27</f>
        <v>63000</v>
      </c>
      <c r="G68" s="7" t="n">
        <f aca="false">B68*가정!$B$28</f>
        <v>0</v>
      </c>
      <c r="H68" s="7" t="n">
        <f aca="false">B68-C68-E68-F68-G68</f>
        <v>2217000</v>
      </c>
      <c r="I68" s="7" t="n">
        <f aca="false">H68-IF(가정!$B$7=1,가정!$B$5,0)</f>
        <v>-1783000</v>
      </c>
      <c r="J68" s="7" t="n">
        <f aca="false">MAX(0,I68)*가정!$B$6</f>
        <v>0</v>
      </c>
      <c r="K68" s="7" t="n">
        <f aca="false">가정!$B$5+J68</f>
        <v>4000000</v>
      </c>
      <c r="L68" s="7" t="n">
        <f aca="false">H68-K68</f>
        <v>-1783000</v>
      </c>
      <c r="M68" s="8" t="n">
        <f aca="false">IF(B68=0,0,K68/B68)</f>
        <v>0.218938149972633</v>
      </c>
      <c r="N68" s="7" t="n">
        <f aca="false">K68/가정!$B$8</f>
        <v>20000</v>
      </c>
      <c r="O68" s="7" t="str">
        <f aca="false">IF(I68&gt;0,A68,"")</f>
        <v/>
      </c>
      <c r="P68" s="7" t="str">
        <f aca="false">IF(L68&gt;=0,A68,"")</f>
        <v/>
      </c>
      <c r="Q68" s="7" t="str">
        <f aca="false">IF(K68&gt;=가정!$B$32,A68,"")</f>
        <v/>
      </c>
      <c r="R68" s="7" t="str">
        <f aca="false">IF(MAX(0,I68)*(1-가정!$B$6)*'1억 상환'!$B$6&gt;='1억 상환'!$B$5,A68,"")</f>
        <v/>
      </c>
    </row>
    <row r="69" customFormat="false" ht="15" hidden="false" customHeight="false" outlineLevel="0" collapsed="false">
      <c r="A69" s="7" t="n">
        <v>64</v>
      </c>
      <c r="B69" s="7" t="n">
        <f aca="false">A69*가정!$B$10</f>
        <v>18560000</v>
      </c>
      <c r="C69" s="7" t="n">
        <f aca="false">가정!$B$34</f>
        <v>3590000</v>
      </c>
      <c r="D69" s="7" t="n">
        <f aca="false">ROUNDUP(MAX(0,A69-가정!$B$18)/가정!$B$19,0)</f>
        <v>2</v>
      </c>
      <c r="E69" s="7" t="n">
        <f aca="false">D69*가정!$B$20+ROUNDUP(A69/가정!$B$22,0)*가정!$B$21+ROUNDUP(A69/가정!$B$24,0)*가정!$B$23</f>
        <v>12400000</v>
      </c>
      <c r="F69" s="7" t="n">
        <f aca="false">A69*가정!$B$26+B69*가정!$B$27</f>
        <v>64000</v>
      </c>
      <c r="G69" s="7" t="n">
        <f aca="false">B69*가정!$B$28</f>
        <v>0</v>
      </c>
      <c r="H69" s="7" t="n">
        <f aca="false">B69-C69-E69-F69-G69</f>
        <v>2506000</v>
      </c>
      <c r="I69" s="7" t="n">
        <f aca="false">H69-IF(가정!$B$7=1,가정!$B$5,0)</f>
        <v>-1494000</v>
      </c>
      <c r="J69" s="7" t="n">
        <f aca="false">MAX(0,I69)*가정!$B$6</f>
        <v>0</v>
      </c>
      <c r="K69" s="7" t="n">
        <f aca="false">가정!$B$5+J69</f>
        <v>4000000</v>
      </c>
      <c r="L69" s="7" t="n">
        <f aca="false">H69-K69</f>
        <v>-1494000</v>
      </c>
      <c r="M69" s="8" t="n">
        <f aca="false">IF(B69=0,0,K69/B69)</f>
        <v>0.21551724137931</v>
      </c>
      <c r="N69" s="7" t="n">
        <f aca="false">K69/가정!$B$8</f>
        <v>20000</v>
      </c>
      <c r="O69" s="7" t="str">
        <f aca="false">IF(I69&gt;0,A69,"")</f>
        <v/>
      </c>
      <c r="P69" s="7" t="str">
        <f aca="false">IF(L69&gt;=0,A69,"")</f>
        <v/>
      </c>
      <c r="Q69" s="7" t="str">
        <f aca="false">IF(K69&gt;=가정!$B$32,A69,"")</f>
        <v/>
      </c>
      <c r="R69" s="7" t="str">
        <f aca="false">IF(MAX(0,I69)*(1-가정!$B$6)*'1억 상환'!$B$6&gt;='1억 상환'!$B$5,A69,"")</f>
        <v/>
      </c>
    </row>
    <row r="70" customFormat="false" ht="15" hidden="false" customHeight="false" outlineLevel="0" collapsed="false">
      <c r="A70" s="7" t="n">
        <v>65</v>
      </c>
      <c r="B70" s="7" t="n">
        <f aca="false">A70*가정!$B$10</f>
        <v>18850000</v>
      </c>
      <c r="C70" s="7" t="n">
        <f aca="false">가정!$B$34</f>
        <v>3590000</v>
      </c>
      <c r="D70" s="7" t="n">
        <f aca="false">ROUNDUP(MAX(0,A70-가정!$B$18)/가정!$B$19,0)</f>
        <v>2</v>
      </c>
      <c r="E70" s="7" t="n">
        <f aca="false">D70*가정!$B$20+ROUNDUP(A70/가정!$B$22,0)*가정!$B$21+ROUNDUP(A70/가정!$B$24,0)*가정!$B$23</f>
        <v>12400000</v>
      </c>
      <c r="F70" s="7" t="n">
        <f aca="false">A70*가정!$B$26+B70*가정!$B$27</f>
        <v>65000</v>
      </c>
      <c r="G70" s="7" t="n">
        <f aca="false">B70*가정!$B$28</f>
        <v>0</v>
      </c>
      <c r="H70" s="7" t="n">
        <f aca="false">B70-C70-E70-F70-G70</f>
        <v>2795000</v>
      </c>
      <c r="I70" s="7" t="n">
        <f aca="false">H70-IF(가정!$B$7=1,가정!$B$5,0)</f>
        <v>-1205000</v>
      </c>
      <c r="J70" s="7" t="n">
        <f aca="false">MAX(0,I70)*가정!$B$6</f>
        <v>0</v>
      </c>
      <c r="K70" s="7" t="n">
        <f aca="false">가정!$B$5+J70</f>
        <v>4000000</v>
      </c>
      <c r="L70" s="7" t="n">
        <f aca="false">H70-K70</f>
        <v>-1205000</v>
      </c>
      <c r="M70" s="8" t="n">
        <f aca="false">IF(B70=0,0,K70/B70)</f>
        <v>0.212201591511936</v>
      </c>
      <c r="N70" s="7" t="n">
        <f aca="false">K70/가정!$B$8</f>
        <v>20000</v>
      </c>
      <c r="O70" s="7" t="str">
        <f aca="false">IF(I70&gt;0,A70,"")</f>
        <v/>
      </c>
      <c r="P70" s="7" t="str">
        <f aca="false">IF(L70&gt;=0,A70,"")</f>
        <v/>
      </c>
      <c r="Q70" s="7" t="str">
        <f aca="false">IF(K70&gt;=가정!$B$32,A70,"")</f>
        <v/>
      </c>
      <c r="R70" s="7" t="str">
        <f aca="false">IF(MAX(0,I70)*(1-가정!$B$6)*'1억 상환'!$B$6&gt;='1억 상환'!$B$5,A70,"")</f>
        <v/>
      </c>
    </row>
    <row r="71" customFormat="false" ht="15" hidden="false" customHeight="false" outlineLevel="0" collapsed="false">
      <c r="A71" s="7" t="n">
        <v>66</v>
      </c>
      <c r="B71" s="7" t="n">
        <f aca="false">A71*가정!$B$10</f>
        <v>19140000</v>
      </c>
      <c r="C71" s="7" t="n">
        <f aca="false">가정!$B$34</f>
        <v>3590000</v>
      </c>
      <c r="D71" s="7" t="n">
        <f aca="false">ROUNDUP(MAX(0,A71-가정!$B$18)/가정!$B$19,0)</f>
        <v>2</v>
      </c>
      <c r="E71" s="7" t="n">
        <f aca="false">D71*가정!$B$20+ROUNDUP(A71/가정!$B$22,0)*가정!$B$21+ROUNDUP(A71/가정!$B$24,0)*가정!$B$23</f>
        <v>12400000</v>
      </c>
      <c r="F71" s="7" t="n">
        <f aca="false">A71*가정!$B$26+B71*가정!$B$27</f>
        <v>66000</v>
      </c>
      <c r="G71" s="7" t="n">
        <f aca="false">B71*가정!$B$28</f>
        <v>0</v>
      </c>
      <c r="H71" s="7" t="n">
        <f aca="false">B71-C71-E71-F71-G71</f>
        <v>3084000</v>
      </c>
      <c r="I71" s="7" t="n">
        <f aca="false">H71-IF(가정!$B$7=1,가정!$B$5,0)</f>
        <v>-916000</v>
      </c>
      <c r="J71" s="7" t="n">
        <f aca="false">MAX(0,I71)*가정!$B$6</f>
        <v>0</v>
      </c>
      <c r="K71" s="7" t="n">
        <f aca="false">가정!$B$5+J71</f>
        <v>4000000</v>
      </c>
      <c r="L71" s="7" t="n">
        <f aca="false">H71-K71</f>
        <v>-916000</v>
      </c>
      <c r="M71" s="8" t="n">
        <f aca="false">IF(B71=0,0,K71/B71)</f>
        <v>0.208986415882968</v>
      </c>
      <c r="N71" s="7" t="n">
        <f aca="false">K71/가정!$B$8</f>
        <v>20000</v>
      </c>
      <c r="O71" s="7" t="str">
        <f aca="false">IF(I71&gt;0,A71,"")</f>
        <v/>
      </c>
      <c r="P71" s="7" t="str">
        <f aca="false">IF(L71&gt;=0,A71,"")</f>
        <v/>
      </c>
      <c r="Q71" s="7" t="str">
        <f aca="false">IF(K71&gt;=가정!$B$32,A71,"")</f>
        <v/>
      </c>
      <c r="R71" s="7" t="str">
        <f aca="false">IF(MAX(0,I71)*(1-가정!$B$6)*'1억 상환'!$B$6&gt;='1억 상환'!$B$5,A71,"")</f>
        <v/>
      </c>
    </row>
    <row r="72" customFormat="false" ht="15" hidden="false" customHeight="false" outlineLevel="0" collapsed="false">
      <c r="A72" s="7" t="n">
        <v>67</v>
      </c>
      <c r="B72" s="7" t="n">
        <f aca="false">A72*가정!$B$10</f>
        <v>19430000</v>
      </c>
      <c r="C72" s="7" t="n">
        <f aca="false">가정!$B$34</f>
        <v>3590000</v>
      </c>
      <c r="D72" s="7" t="n">
        <f aca="false">ROUNDUP(MAX(0,A72-가정!$B$18)/가정!$B$19,0)</f>
        <v>2</v>
      </c>
      <c r="E72" s="7" t="n">
        <f aca="false">D72*가정!$B$20+ROUNDUP(A72/가정!$B$22,0)*가정!$B$21+ROUNDUP(A72/가정!$B$24,0)*가정!$B$23</f>
        <v>12400000</v>
      </c>
      <c r="F72" s="7" t="n">
        <f aca="false">A72*가정!$B$26+B72*가정!$B$27</f>
        <v>67000</v>
      </c>
      <c r="G72" s="7" t="n">
        <f aca="false">B72*가정!$B$28</f>
        <v>0</v>
      </c>
      <c r="H72" s="7" t="n">
        <f aca="false">B72-C72-E72-F72-G72</f>
        <v>3373000</v>
      </c>
      <c r="I72" s="7" t="n">
        <f aca="false">H72-IF(가정!$B$7=1,가정!$B$5,0)</f>
        <v>-627000</v>
      </c>
      <c r="J72" s="7" t="n">
        <f aca="false">MAX(0,I72)*가정!$B$6</f>
        <v>0</v>
      </c>
      <c r="K72" s="7" t="n">
        <f aca="false">가정!$B$5+J72</f>
        <v>4000000</v>
      </c>
      <c r="L72" s="7" t="n">
        <f aca="false">H72-K72</f>
        <v>-627000</v>
      </c>
      <c r="M72" s="8" t="n">
        <f aca="false">IF(B72=0,0,K72/B72)</f>
        <v>0.205867215645908</v>
      </c>
      <c r="N72" s="7" t="n">
        <f aca="false">K72/가정!$B$8</f>
        <v>20000</v>
      </c>
      <c r="O72" s="7" t="str">
        <f aca="false">IF(I72&gt;0,A72,"")</f>
        <v/>
      </c>
      <c r="P72" s="7" t="str">
        <f aca="false">IF(L72&gt;=0,A72,"")</f>
        <v/>
      </c>
      <c r="Q72" s="7" t="str">
        <f aca="false">IF(K72&gt;=가정!$B$32,A72,"")</f>
        <v/>
      </c>
      <c r="R72" s="7" t="str">
        <f aca="false">IF(MAX(0,I72)*(1-가정!$B$6)*'1억 상환'!$B$6&gt;='1억 상환'!$B$5,A72,"")</f>
        <v/>
      </c>
    </row>
    <row r="73" customFormat="false" ht="15" hidden="false" customHeight="false" outlineLevel="0" collapsed="false">
      <c r="A73" s="7" t="n">
        <v>68</v>
      </c>
      <c r="B73" s="7" t="n">
        <f aca="false">A73*가정!$B$10</f>
        <v>19720000</v>
      </c>
      <c r="C73" s="7" t="n">
        <f aca="false">가정!$B$34</f>
        <v>3590000</v>
      </c>
      <c r="D73" s="7" t="n">
        <f aca="false">ROUNDUP(MAX(0,A73-가정!$B$18)/가정!$B$19,0)</f>
        <v>2</v>
      </c>
      <c r="E73" s="7" t="n">
        <f aca="false">D73*가정!$B$20+ROUNDUP(A73/가정!$B$22,0)*가정!$B$21+ROUNDUP(A73/가정!$B$24,0)*가정!$B$23</f>
        <v>12400000</v>
      </c>
      <c r="F73" s="7" t="n">
        <f aca="false">A73*가정!$B$26+B73*가정!$B$27</f>
        <v>68000</v>
      </c>
      <c r="G73" s="7" t="n">
        <f aca="false">B73*가정!$B$28</f>
        <v>0</v>
      </c>
      <c r="H73" s="7" t="n">
        <f aca="false">B73-C73-E73-F73-G73</f>
        <v>3662000</v>
      </c>
      <c r="I73" s="7" t="n">
        <f aca="false">H73-IF(가정!$B$7=1,가정!$B$5,0)</f>
        <v>-338000</v>
      </c>
      <c r="J73" s="7" t="n">
        <f aca="false">MAX(0,I73)*가정!$B$6</f>
        <v>0</v>
      </c>
      <c r="K73" s="7" t="n">
        <f aca="false">가정!$B$5+J73</f>
        <v>4000000</v>
      </c>
      <c r="L73" s="7" t="n">
        <f aca="false">H73-K73</f>
        <v>-338000</v>
      </c>
      <c r="M73" s="8" t="n">
        <f aca="false">IF(B73=0,0,K73/B73)</f>
        <v>0.202839756592292</v>
      </c>
      <c r="N73" s="7" t="n">
        <f aca="false">K73/가정!$B$8</f>
        <v>20000</v>
      </c>
      <c r="O73" s="7" t="str">
        <f aca="false">IF(I73&gt;0,A73,"")</f>
        <v/>
      </c>
      <c r="P73" s="7" t="str">
        <f aca="false">IF(L73&gt;=0,A73,"")</f>
        <v/>
      </c>
      <c r="Q73" s="7" t="str">
        <f aca="false">IF(K73&gt;=가정!$B$32,A73,"")</f>
        <v/>
      </c>
      <c r="R73" s="7" t="str">
        <f aca="false">IF(MAX(0,I73)*(1-가정!$B$6)*'1억 상환'!$B$6&gt;='1억 상환'!$B$5,A73,"")</f>
        <v/>
      </c>
    </row>
    <row r="74" customFormat="false" ht="15" hidden="false" customHeight="false" outlineLevel="0" collapsed="false">
      <c r="A74" s="7" t="n">
        <v>69</v>
      </c>
      <c r="B74" s="7" t="n">
        <f aca="false">A74*가정!$B$10</f>
        <v>20010000</v>
      </c>
      <c r="C74" s="7" t="n">
        <f aca="false">가정!$B$34</f>
        <v>3590000</v>
      </c>
      <c r="D74" s="7" t="n">
        <f aca="false">ROUNDUP(MAX(0,A74-가정!$B$18)/가정!$B$19,0)</f>
        <v>2</v>
      </c>
      <c r="E74" s="7" t="n">
        <f aca="false">D74*가정!$B$20+ROUNDUP(A74/가정!$B$22,0)*가정!$B$21+ROUNDUP(A74/가정!$B$24,0)*가정!$B$23</f>
        <v>12400000</v>
      </c>
      <c r="F74" s="7" t="n">
        <f aca="false">A74*가정!$B$26+B74*가정!$B$27</f>
        <v>69000</v>
      </c>
      <c r="G74" s="7" t="n">
        <f aca="false">B74*가정!$B$28</f>
        <v>0</v>
      </c>
      <c r="H74" s="7" t="n">
        <f aca="false">B74-C74-E74-F74-G74</f>
        <v>3951000</v>
      </c>
      <c r="I74" s="7" t="n">
        <f aca="false">H74-IF(가정!$B$7=1,가정!$B$5,0)</f>
        <v>-49000</v>
      </c>
      <c r="J74" s="7" t="n">
        <f aca="false">MAX(0,I74)*가정!$B$6</f>
        <v>0</v>
      </c>
      <c r="K74" s="7" t="n">
        <f aca="false">가정!$B$5+J74</f>
        <v>4000000</v>
      </c>
      <c r="L74" s="7" t="n">
        <f aca="false">H74-K74</f>
        <v>-49000</v>
      </c>
      <c r="M74" s="8" t="n">
        <f aca="false">IF(B74=0,0,K74/B74)</f>
        <v>0.199900049975012</v>
      </c>
      <c r="N74" s="7" t="n">
        <f aca="false">K74/가정!$B$8</f>
        <v>20000</v>
      </c>
      <c r="O74" s="7" t="str">
        <f aca="false">IF(I74&gt;0,A74,"")</f>
        <v/>
      </c>
      <c r="P74" s="7" t="str">
        <f aca="false">IF(L74&gt;=0,A74,"")</f>
        <v/>
      </c>
      <c r="Q74" s="7" t="str">
        <f aca="false">IF(K74&gt;=가정!$B$32,A74,"")</f>
        <v/>
      </c>
      <c r="R74" s="7" t="str">
        <f aca="false">IF(MAX(0,I74)*(1-가정!$B$6)*'1억 상환'!$B$6&gt;='1억 상환'!$B$5,A74,"")</f>
        <v/>
      </c>
    </row>
    <row r="75" customFormat="false" ht="15" hidden="false" customHeight="false" outlineLevel="0" collapsed="false">
      <c r="A75" s="7" t="n">
        <v>70</v>
      </c>
      <c r="B75" s="7" t="n">
        <f aca="false">A75*가정!$B$10</f>
        <v>20300000</v>
      </c>
      <c r="C75" s="7" t="n">
        <f aca="false">가정!$B$34</f>
        <v>3590000</v>
      </c>
      <c r="D75" s="7" t="n">
        <f aca="false">ROUNDUP(MAX(0,A75-가정!$B$18)/가정!$B$19,0)</f>
        <v>2</v>
      </c>
      <c r="E75" s="7" t="n">
        <f aca="false">D75*가정!$B$20+ROUNDUP(A75/가정!$B$22,0)*가정!$B$21+ROUNDUP(A75/가정!$B$24,0)*가정!$B$23</f>
        <v>12400000</v>
      </c>
      <c r="F75" s="7" t="n">
        <f aca="false">A75*가정!$B$26+B75*가정!$B$27</f>
        <v>70000</v>
      </c>
      <c r="G75" s="7" t="n">
        <f aca="false">B75*가정!$B$28</f>
        <v>0</v>
      </c>
      <c r="H75" s="7" t="n">
        <f aca="false">B75-C75-E75-F75-G75</f>
        <v>4240000</v>
      </c>
      <c r="I75" s="7" t="n">
        <f aca="false">H75-IF(가정!$B$7=1,가정!$B$5,0)</f>
        <v>240000</v>
      </c>
      <c r="J75" s="7" t="n">
        <f aca="false">MAX(0,I75)*가정!$B$6</f>
        <v>216000</v>
      </c>
      <c r="K75" s="7" t="n">
        <f aca="false">가정!$B$5+J75</f>
        <v>4216000</v>
      </c>
      <c r="L75" s="7" t="n">
        <f aca="false">H75-K75</f>
        <v>24000</v>
      </c>
      <c r="M75" s="8" t="n">
        <f aca="false">IF(B75=0,0,K75/B75)</f>
        <v>0.207684729064039</v>
      </c>
      <c r="N75" s="7" t="n">
        <f aca="false">K75/가정!$B$8</f>
        <v>21080</v>
      </c>
      <c r="O75" s="7" t="n">
        <f aca="false">IF(I75&gt;0,A75,"")</f>
        <v>70</v>
      </c>
      <c r="P75" s="7" t="n">
        <f aca="false">IF(L75&gt;=0,A75,"")</f>
        <v>70</v>
      </c>
      <c r="Q75" s="7" t="str">
        <f aca="false">IF(K75&gt;=가정!$B$32,A75,"")</f>
        <v/>
      </c>
      <c r="R75" s="7" t="str">
        <f aca="false">IF(MAX(0,I75)*(1-가정!$B$6)*'1억 상환'!$B$6&gt;='1억 상환'!$B$5,A75,"")</f>
        <v/>
      </c>
    </row>
    <row r="76" customFormat="false" ht="15" hidden="false" customHeight="false" outlineLevel="0" collapsed="false">
      <c r="A76" s="7" t="n">
        <v>71</v>
      </c>
      <c r="B76" s="7" t="n">
        <f aca="false">A76*가정!$B$10</f>
        <v>20590000</v>
      </c>
      <c r="C76" s="7" t="n">
        <f aca="false">가정!$B$34</f>
        <v>3590000</v>
      </c>
      <c r="D76" s="7" t="n">
        <f aca="false">ROUNDUP(MAX(0,A76-가정!$B$18)/가정!$B$19,0)</f>
        <v>2</v>
      </c>
      <c r="E76" s="7" t="n">
        <f aca="false">D76*가정!$B$20+ROUNDUP(A76/가정!$B$22,0)*가정!$B$21+ROUNDUP(A76/가정!$B$24,0)*가정!$B$23</f>
        <v>12400000</v>
      </c>
      <c r="F76" s="7" t="n">
        <f aca="false">A76*가정!$B$26+B76*가정!$B$27</f>
        <v>71000</v>
      </c>
      <c r="G76" s="7" t="n">
        <f aca="false">B76*가정!$B$28</f>
        <v>0</v>
      </c>
      <c r="H76" s="7" t="n">
        <f aca="false">B76-C76-E76-F76-G76</f>
        <v>4529000</v>
      </c>
      <c r="I76" s="7" t="n">
        <f aca="false">H76-IF(가정!$B$7=1,가정!$B$5,0)</f>
        <v>529000</v>
      </c>
      <c r="J76" s="7" t="n">
        <f aca="false">MAX(0,I76)*가정!$B$6</f>
        <v>476100</v>
      </c>
      <c r="K76" s="7" t="n">
        <f aca="false">가정!$B$5+J76</f>
        <v>4476100</v>
      </c>
      <c r="L76" s="7" t="n">
        <f aca="false">H76-K76</f>
        <v>52900</v>
      </c>
      <c r="M76" s="8" t="n">
        <f aca="false">IF(B76=0,0,K76/B76)</f>
        <v>0.2173919378339</v>
      </c>
      <c r="N76" s="7" t="n">
        <f aca="false">K76/가정!$B$8</f>
        <v>22380.5</v>
      </c>
      <c r="O76" s="7" t="n">
        <f aca="false">IF(I76&gt;0,A76,"")</f>
        <v>71</v>
      </c>
      <c r="P76" s="7" t="n">
        <f aca="false">IF(L76&gt;=0,A76,"")</f>
        <v>71</v>
      </c>
      <c r="Q76" s="7" t="str">
        <f aca="false">IF(K76&gt;=가정!$B$32,A76,"")</f>
        <v/>
      </c>
      <c r="R76" s="7" t="str">
        <f aca="false">IF(MAX(0,I76)*(1-가정!$B$6)*'1억 상환'!$B$6&gt;='1억 상환'!$B$5,A76,"")</f>
        <v/>
      </c>
    </row>
    <row r="77" customFormat="false" ht="15" hidden="false" customHeight="false" outlineLevel="0" collapsed="false">
      <c r="A77" s="7" t="n">
        <v>72</v>
      </c>
      <c r="B77" s="7" t="n">
        <f aca="false">A77*가정!$B$10</f>
        <v>20880000</v>
      </c>
      <c r="C77" s="7" t="n">
        <f aca="false">가정!$B$34</f>
        <v>3590000</v>
      </c>
      <c r="D77" s="7" t="n">
        <f aca="false">ROUNDUP(MAX(0,A77-가정!$B$18)/가정!$B$19,0)</f>
        <v>2</v>
      </c>
      <c r="E77" s="7" t="n">
        <f aca="false">D77*가정!$B$20+ROUNDUP(A77/가정!$B$22,0)*가정!$B$21+ROUNDUP(A77/가정!$B$24,0)*가정!$B$23</f>
        <v>12400000</v>
      </c>
      <c r="F77" s="7" t="n">
        <f aca="false">A77*가정!$B$26+B77*가정!$B$27</f>
        <v>72000</v>
      </c>
      <c r="G77" s="7" t="n">
        <f aca="false">B77*가정!$B$28</f>
        <v>0</v>
      </c>
      <c r="H77" s="7" t="n">
        <f aca="false">B77-C77-E77-F77-G77</f>
        <v>4818000</v>
      </c>
      <c r="I77" s="7" t="n">
        <f aca="false">H77-IF(가정!$B$7=1,가정!$B$5,0)</f>
        <v>818000</v>
      </c>
      <c r="J77" s="7" t="n">
        <f aca="false">MAX(0,I77)*가정!$B$6</f>
        <v>736200</v>
      </c>
      <c r="K77" s="7" t="n">
        <f aca="false">가정!$B$5+J77</f>
        <v>4736200</v>
      </c>
      <c r="L77" s="7" t="n">
        <f aca="false">H77-K77</f>
        <v>81800</v>
      </c>
      <c r="M77" s="8" t="n">
        <f aca="false">IF(B77=0,0,K77/B77)</f>
        <v>0.226829501915709</v>
      </c>
      <c r="N77" s="7" t="n">
        <f aca="false">K77/가정!$B$8</f>
        <v>23681</v>
      </c>
      <c r="O77" s="7" t="n">
        <f aca="false">IF(I77&gt;0,A77,"")</f>
        <v>72</v>
      </c>
      <c r="P77" s="7" t="n">
        <f aca="false">IF(L77&gt;=0,A77,"")</f>
        <v>72</v>
      </c>
      <c r="Q77" s="7" t="str">
        <f aca="false">IF(K77&gt;=가정!$B$32,A77,"")</f>
        <v/>
      </c>
      <c r="R77" s="7" t="str">
        <f aca="false">IF(MAX(0,I77)*(1-가정!$B$6)*'1억 상환'!$B$6&gt;='1억 상환'!$B$5,A77,"")</f>
        <v/>
      </c>
    </row>
    <row r="78" customFormat="false" ht="15" hidden="false" customHeight="false" outlineLevel="0" collapsed="false">
      <c r="A78" s="7" t="n">
        <v>73</v>
      </c>
      <c r="B78" s="7" t="n">
        <f aca="false">A78*가정!$B$10</f>
        <v>21170000</v>
      </c>
      <c r="C78" s="7" t="n">
        <f aca="false">가정!$B$34</f>
        <v>3590000</v>
      </c>
      <c r="D78" s="7" t="n">
        <f aca="false">ROUNDUP(MAX(0,A78-가정!$B$18)/가정!$B$19,0)</f>
        <v>2</v>
      </c>
      <c r="E78" s="7" t="n">
        <f aca="false">D78*가정!$B$20+ROUNDUP(A78/가정!$B$22,0)*가정!$B$21+ROUNDUP(A78/가정!$B$24,0)*가정!$B$23</f>
        <v>12400000</v>
      </c>
      <c r="F78" s="7" t="n">
        <f aca="false">A78*가정!$B$26+B78*가정!$B$27</f>
        <v>73000</v>
      </c>
      <c r="G78" s="7" t="n">
        <f aca="false">B78*가정!$B$28</f>
        <v>0</v>
      </c>
      <c r="H78" s="7" t="n">
        <f aca="false">B78-C78-E78-F78-G78</f>
        <v>5107000</v>
      </c>
      <c r="I78" s="7" t="n">
        <f aca="false">H78-IF(가정!$B$7=1,가정!$B$5,0)</f>
        <v>1107000</v>
      </c>
      <c r="J78" s="7" t="n">
        <f aca="false">MAX(0,I78)*가정!$B$6</f>
        <v>996300</v>
      </c>
      <c r="K78" s="7" t="n">
        <f aca="false">가정!$B$5+J78</f>
        <v>4996300</v>
      </c>
      <c r="L78" s="7" t="n">
        <f aca="false">H78-K78</f>
        <v>110700</v>
      </c>
      <c r="M78" s="8" t="n">
        <f aca="false">IF(B78=0,0,K78/B78)</f>
        <v>0.236008502598016</v>
      </c>
      <c r="N78" s="7" t="n">
        <f aca="false">K78/가정!$B$8</f>
        <v>24981.5</v>
      </c>
      <c r="O78" s="7" t="n">
        <f aca="false">IF(I78&gt;0,A78,"")</f>
        <v>73</v>
      </c>
      <c r="P78" s="7" t="n">
        <f aca="false">IF(L78&gt;=0,A78,"")</f>
        <v>73</v>
      </c>
      <c r="Q78" s="7" t="str">
        <f aca="false">IF(K78&gt;=가정!$B$32,A78,"")</f>
        <v/>
      </c>
      <c r="R78" s="7" t="str">
        <f aca="false">IF(MAX(0,I78)*(1-가정!$B$6)*'1억 상환'!$B$6&gt;='1억 상환'!$B$5,A78,"")</f>
        <v/>
      </c>
    </row>
    <row r="79" customFormat="false" ht="15" hidden="false" customHeight="false" outlineLevel="0" collapsed="false">
      <c r="A79" s="7" t="n">
        <v>74</v>
      </c>
      <c r="B79" s="7" t="n">
        <f aca="false">A79*가정!$B$10</f>
        <v>21460000</v>
      </c>
      <c r="C79" s="7" t="n">
        <f aca="false">가정!$B$34</f>
        <v>3590000</v>
      </c>
      <c r="D79" s="7" t="n">
        <f aca="false">ROUNDUP(MAX(0,A79-가정!$B$18)/가정!$B$19,0)</f>
        <v>2</v>
      </c>
      <c r="E79" s="7" t="n">
        <f aca="false">D79*가정!$B$20+ROUNDUP(A79/가정!$B$22,0)*가정!$B$21+ROUNDUP(A79/가정!$B$24,0)*가정!$B$23</f>
        <v>12400000</v>
      </c>
      <c r="F79" s="7" t="n">
        <f aca="false">A79*가정!$B$26+B79*가정!$B$27</f>
        <v>74000</v>
      </c>
      <c r="G79" s="7" t="n">
        <f aca="false">B79*가정!$B$28</f>
        <v>0</v>
      </c>
      <c r="H79" s="7" t="n">
        <f aca="false">B79-C79-E79-F79-G79</f>
        <v>5396000</v>
      </c>
      <c r="I79" s="7" t="n">
        <f aca="false">H79-IF(가정!$B$7=1,가정!$B$5,0)</f>
        <v>1396000</v>
      </c>
      <c r="J79" s="7" t="n">
        <f aca="false">MAX(0,I79)*가정!$B$6</f>
        <v>1256400</v>
      </c>
      <c r="K79" s="7" t="n">
        <f aca="false">가정!$B$5+J79</f>
        <v>5256400</v>
      </c>
      <c r="L79" s="7" t="n">
        <f aca="false">H79-K79</f>
        <v>139600</v>
      </c>
      <c r="M79" s="8" t="n">
        <f aca="false">IF(B79=0,0,K79/B79)</f>
        <v>0.244939422180802</v>
      </c>
      <c r="N79" s="7" t="n">
        <f aca="false">K79/가정!$B$8</f>
        <v>26282</v>
      </c>
      <c r="O79" s="7" t="n">
        <f aca="false">IF(I79&gt;0,A79,"")</f>
        <v>74</v>
      </c>
      <c r="P79" s="7" t="n">
        <f aca="false">IF(L79&gt;=0,A79,"")</f>
        <v>74</v>
      </c>
      <c r="Q79" s="7" t="str">
        <f aca="false">IF(K79&gt;=가정!$B$32,A79,"")</f>
        <v/>
      </c>
      <c r="R79" s="7" t="str">
        <f aca="false">IF(MAX(0,I79)*(1-가정!$B$6)*'1억 상환'!$B$6&gt;='1억 상환'!$B$5,A79,"")</f>
        <v/>
      </c>
    </row>
    <row r="80" customFormat="false" ht="15" hidden="false" customHeight="false" outlineLevel="0" collapsed="false">
      <c r="A80" s="7" t="n">
        <v>75</v>
      </c>
      <c r="B80" s="7" t="n">
        <f aca="false">A80*가정!$B$10</f>
        <v>21750000</v>
      </c>
      <c r="C80" s="7" t="n">
        <f aca="false">가정!$B$34</f>
        <v>3590000</v>
      </c>
      <c r="D80" s="7" t="n">
        <f aca="false">ROUNDUP(MAX(0,A80-가정!$B$18)/가정!$B$19,0)</f>
        <v>2</v>
      </c>
      <c r="E80" s="7" t="n">
        <f aca="false">D80*가정!$B$20+ROUNDUP(A80/가정!$B$22,0)*가정!$B$21+ROUNDUP(A80/가정!$B$24,0)*가정!$B$23</f>
        <v>12400000</v>
      </c>
      <c r="F80" s="7" t="n">
        <f aca="false">A80*가정!$B$26+B80*가정!$B$27</f>
        <v>75000</v>
      </c>
      <c r="G80" s="7" t="n">
        <f aca="false">B80*가정!$B$28</f>
        <v>0</v>
      </c>
      <c r="H80" s="7" t="n">
        <f aca="false">B80-C80-E80-F80-G80</f>
        <v>5685000</v>
      </c>
      <c r="I80" s="7" t="n">
        <f aca="false">H80-IF(가정!$B$7=1,가정!$B$5,0)</f>
        <v>1685000</v>
      </c>
      <c r="J80" s="7" t="n">
        <f aca="false">MAX(0,I80)*가정!$B$6</f>
        <v>1516500</v>
      </c>
      <c r="K80" s="7" t="n">
        <f aca="false">가정!$B$5+J80</f>
        <v>5516500</v>
      </c>
      <c r="L80" s="7" t="n">
        <f aca="false">H80-K80</f>
        <v>168500</v>
      </c>
      <c r="M80" s="8" t="n">
        <f aca="false">IF(B80=0,0,K80/B80)</f>
        <v>0.253632183908046</v>
      </c>
      <c r="N80" s="7" t="n">
        <f aca="false">K80/가정!$B$8</f>
        <v>27582.5</v>
      </c>
      <c r="O80" s="7" t="n">
        <f aca="false">IF(I80&gt;0,A80,"")</f>
        <v>75</v>
      </c>
      <c r="P80" s="7" t="n">
        <f aca="false">IF(L80&gt;=0,A80,"")</f>
        <v>75</v>
      </c>
      <c r="Q80" s="7" t="str">
        <f aca="false">IF(K80&gt;=가정!$B$32,A80,"")</f>
        <v/>
      </c>
      <c r="R80" s="7" t="str">
        <f aca="false">IF(MAX(0,I80)*(1-가정!$B$6)*'1억 상환'!$B$6&gt;='1억 상환'!$B$5,A80,"")</f>
        <v/>
      </c>
    </row>
    <row r="81" customFormat="false" ht="15" hidden="false" customHeight="false" outlineLevel="0" collapsed="false">
      <c r="A81" s="7" t="n">
        <v>76</v>
      </c>
      <c r="B81" s="7" t="n">
        <f aca="false">A81*가정!$B$10</f>
        <v>22040000</v>
      </c>
      <c r="C81" s="7" t="n">
        <f aca="false">가정!$B$34</f>
        <v>3590000</v>
      </c>
      <c r="D81" s="7" t="n">
        <f aca="false">ROUNDUP(MAX(0,A81-가정!$B$18)/가정!$B$19,0)</f>
        <v>2</v>
      </c>
      <c r="E81" s="7" t="n">
        <f aca="false">D81*가정!$B$20+ROUNDUP(A81/가정!$B$22,0)*가정!$B$21+ROUNDUP(A81/가정!$B$24,0)*가정!$B$23</f>
        <v>12400000</v>
      </c>
      <c r="F81" s="7" t="n">
        <f aca="false">A81*가정!$B$26+B81*가정!$B$27</f>
        <v>76000</v>
      </c>
      <c r="G81" s="7" t="n">
        <f aca="false">B81*가정!$B$28</f>
        <v>0</v>
      </c>
      <c r="H81" s="7" t="n">
        <f aca="false">B81-C81-E81-F81-G81</f>
        <v>5974000</v>
      </c>
      <c r="I81" s="7" t="n">
        <f aca="false">H81-IF(가정!$B$7=1,가정!$B$5,0)</f>
        <v>1974000</v>
      </c>
      <c r="J81" s="7" t="n">
        <f aca="false">MAX(0,I81)*가정!$B$6</f>
        <v>1776600</v>
      </c>
      <c r="K81" s="7" t="n">
        <f aca="false">가정!$B$5+J81</f>
        <v>5776600</v>
      </c>
      <c r="L81" s="7" t="n">
        <f aca="false">H81-K81</f>
        <v>197400</v>
      </c>
      <c r="M81" s="8" t="n">
        <f aca="false">IF(B81=0,0,K81/B81)</f>
        <v>0.262096188747731</v>
      </c>
      <c r="N81" s="7" t="n">
        <f aca="false">K81/가정!$B$8</f>
        <v>28883</v>
      </c>
      <c r="O81" s="7" t="n">
        <f aca="false">IF(I81&gt;0,A81,"")</f>
        <v>76</v>
      </c>
      <c r="P81" s="7" t="n">
        <f aca="false">IF(L81&gt;=0,A81,"")</f>
        <v>76</v>
      </c>
      <c r="Q81" s="7" t="str">
        <f aca="false">IF(K81&gt;=가정!$B$32,A81,"")</f>
        <v/>
      </c>
      <c r="R81" s="7" t="str">
        <f aca="false">IF(MAX(0,I81)*(1-가정!$B$6)*'1억 상환'!$B$6&gt;='1억 상환'!$B$5,A81,"")</f>
        <v/>
      </c>
    </row>
    <row r="82" customFormat="false" ht="15" hidden="false" customHeight="false" outlineLevel="0" collapsed="false">
      <c r="A82" s="7" t="n">
        <v>77</v>
      </c>
      <c r="B82" s="7" t="n">
        <f aca="false">A82*가정!$B$10</f>
        <v>22330000</v>
      </c>
      <c r="C82" s="7" t="n">
        <f aca="false">가정!$B$34</f>
        <v>3590000</v>
      </c>
      <c r="D82" s="7" t="n">
        <f aca="false">ROUNDUP(MAX(0,A82-가정!$B$18)/가정!$B$19,0)</f>
        <v>2</v>
      </c>
      <c r="E82" s="7" t="n">
        <f aca="false">D82*가정!$B$20+ROUNDUP(A82/가정!$B$22,0)*가정!$B$21+ROUNDUP(A82/가정!$B$24,0)*가정!$B$23</f>
        <v>12400000</v>
      </c>
      <c r="F82" s="7" t="n">
        <f aca="false">A82*가정!$B$26+B82*가정!$B$27</f>
        <v>77000</v>
      </c>
      <c r="G82" s="7" t="n">
        <f aca="false">B82*가정!$B$28</f>
        <v>0</v>
      </c>
      <c r="H82" s="7" t="n">
        <f aca="false">B82-C82-E82-F82-G82</f>
        <v>6263000</v>
      </c>
      <c r="I82" s="7" t="n">
        <f aca="false">H82-IF(가정!$B$7=1,가정!$B$5,0)</f>
        <v>2263000</v>
      </c>
      <c r="J82" s="7" t="n">
        <f aca="false">MAX(0,I82)*가정!$B$6</f>
        <v>2036700</v>
      </c>
      <c r="K82" s="7" t="n">
        <f aca="false">가정!$B$5+J82</f>
        <v>6036700</v>
      </c>
      <c r="L82" s="7" t="n">
        <f aca="false">H82-K82</f>
        <v>226300</v>
      </c>
      <c r="M82" s="8" t="n">
        <f aca="false">IF(B82=0,0,K82/B82)</f>
        <v>0.270340349305867</v>
      </c>
      <c r="N82" s="7" t="n">
        <f aca="false">K82/가정!$B$8</f>
        <v>30183.5</v>
      </c>
      <c r="O82" s="7" t="n">
        <f aca="false">IF(I82&gt;0,A82,"")</f>
        <v>77</v>
      </c>
      <c r="P82" s="7" t="n">
        <f aca="false">IF(L82&gt;=0,A82,"")</f>
        <v>77</v>
      </c>
      <c r="Q82" s="7" t="n">
        <f aca="false">IF(K82&gt;=가정!$B$32,A82,"")</f>
        <v>77</v>
      </c>
      <c r="R82" s="7" t="str">
        <f aca="false">IF(MAX(0,I82)*(1-가정!$B$6)*'1억 상환'!$B$6&gt;='1억 상환'!$B$5,A82,"")</f>
        <v/>
      </c>
    </row>
    <row r="83" customFormat="false" ht="15" hidden="false" customHeight="false" outlineLevel="0" collapsed="false">
      <c r="A83" s="7" t="n">
        <v>78</v>
      </c>
      <c r="B83" s="7" t="n">
        <f aca="false">A83*가정!$B$10</f>
        <v>22620000</v>
      </c>
      <c r="C83" s="7" t="n">
        <f aca="false">가정!$B$34</f>
        <v>3590000</v>
      </c>
      <c r="D83" s="7" t="n">
        <f aca="false">ROUNDUP(MAX(0,A83-가정!$B$18)/가정!$B$19,0)</f>
        <v>2</v>
      </c>
      <c r="E83" s="7" t="n">
        <f aca="false">D83*가정!$B$20+ROUNDUP(A83/가정!$B$22,0)*가정!$B$21+ROUNDUP(A83/가정!$B$24,0)*가정!$B$23</f>
        <v>12400000</v>
      </c>
      <c r="F83" s="7" t="n">
        <f aca="false">A83*가정!$B$26+B83*가정!$B$27</f>
        <v>78000</v>
      </c>
      <c r="G83" s="7" t="n">
        <f aca="false">B83*가정!$B$28</f>
        <v>0</v>
      </c>
      <c r="H83" s="7" t="n">
        <f aca="false">B83-C83-E83-F83-G83</f>
        <v>6552000</v>
      </c>
      <c r="I83" s="7" t="n">
        <f aca="false">H83-IF(가정!$B$7=1,가정!$B$5,0)</f>
        <v>2552000</v>
      </c>
      <c r="J83" s="7" t="n">
        <f aca="false">MAX(0,I83)*가정!$B$6</f>
        <v>2296800</v>
      </c>
      <c r="K83" s="7" t="n">
        <f aca="false">가정!$B$5+J83</f>
        <v>6296800</v>
      </c>
      <c r="L83" s="7" t="n">
        <f aca="false">H83-K83</f>
        <v>255200</v>
      </c>
      <c r="M83" s="8" t="n">
        <f aca="false">IF(B83=0,0,K83/B83)</f>
        <v>0.278373121131742</v>
      </c>
      <c r="N83" s="7" t="n">
        <f aca="false">K83/가정!$B$8</f>
        <v>31484</v>
      </c>
      <c r="O83" s="7" t="n">
        <f aca="false">IF(I83&gt;0,A83,"")</f>
        <v>78</v>
      </c>
      <c r="P83" s="7" t="n">
        <f aca="false">IF(L83&gt;=0,A83,"")</f>
        <v>78</v>
      </c>
      <c r="Q83" s="7" t="n">
        <f aca="false">IF(K83&gt;=가정!$B$32,A83,"")</f>
        <v>78</v>
      </c>
      <c r="R83" s="7" t="str">
        <f aca="false">IF(MAX(0,I83)*(1-가정!$B$6)*'1억 상환'!$B$6&gt;='1억 상환'!$B$5,A83,"")</f>
        <v/>
      </c>
    </row>
    <row r="84" customFormat="false" ht="15" hidden="false" customHeight="false" outlineLevel="0" collapsed="false">
      <c r="A84" s="7" t="n">
        <v>79</v>
      </c>
      <c r="B84" s="7" t="n">
        <f aca="false">A84*가정!$B$10</f>
        <v>22910000</v>
      </c>
      <c r="C84" s="7" t="n">
        <f aca="false">가정!$B$34</f>
        <v>3590000</v>
      </c>
      <c r="D84" s="7" t="n">
        <f aca="false">ROUNDUP(MAX(0,A84-가정!$B$18)/가정!$B$19,0)</f>
        <v>2</v>
      </c>
      <c r="E84" s="7" t="n">
        <f aca="false">D84*가정!$B$20+ROUNDUP(A84/가정!$B$22,0)*가정!$B$21+ROUNDUP(A84/가정!$B$24,0)*가정!$B$23</f>
        <v>12400000</v>
      </c>
      <c r="F84" s="7" t="n">
        <f aca="false">A84*가정!$B$26+B84*가정!$B$27</f>
        <v>79000</v>
      </c>
      <c r="G84" s="7" t="n">
        <f aca="false">B84*가정!$B$28</f>
        <v>0</v>
      </c>
      <c r="H84" s="7" t="n">
        <f aca="false">B84-C84-E84-F84-G84</f>
        <v>6841000</v>
      </c>
      <c r="I84" s="7" t="n">
        <f aca="false">H84-IF(가정!$B$7=1,가정!$B$5,0)</f>
        <v>2841000</v>
      </c>
      <c r="J84" s="7" t="n">
        <f aca="false">MAX(0,I84)*가정!$B$6</f>
        <v>2556900</v>
      </c>
      <c r="K84" s="7" t="n">
        <f aca="false">가정!$B$5+J84</f>
        <v>6556900</v>
      </c>
      <c r="L84" s="7" t="n">
        <f aca="false">H84-K84</f>
        <v>284100</v>
      </c>
      <c r="M84" s="8" t="n">
        <f aca="false">IF(B84=0,0,K84/B84)</f>
        <v>0.28620253164557</v>
      </c>
      <c r="N84" s="7" t="n">
        <f aca="false">K84/가정!$B$8</f>
        <v>32784.5</v>
      </c>
      <c r="O84" s="7" t="n">
        <f aca="false">IF(I84&gt;0,A84,"")</f>
        <v>79</v>
      </c>
      <c r="P84" s="7" t="n">
        <f aca="false">IF(L84&gt;=0,A84,"")</f>
        <v>79</v>
      </c>
      <c r="Q84" s="7" t="n">
        <f aca="false">IF(K84&gt;=가정!$B$32,A84,"")</f>
        <v>79</v>
      </c>
      <c r="R84" s="7" t="str">
        <f aca="false">IF(MAX(0,I84)*(1-가정!$B$6)*'1억 상환'!$B$6&gt;='1억 상환'!$B$5,A84,"")</f>
        <v/>
      </c>
    </row>
    <row r="85" customFormat="false" ht="15" hidden="false" customHeight="false" outlineLevel="0" collapsed="false">
      <c r="A85" s="7" t="n">
        <v>80</v>
      </c>
      <c r="B85" s="7" t="n">
        <f aca="false">A85*가정!$B$10</f>
        <v>23200000</v>
      </c>
      <c r="C85" s="7" t="n">
        <f aca="false">가정!$B$34</f>
        <v>3590000</v>
      </c>
      <c r="D85" s="7" t="n">
        <f aca="false">ROUNDUP(MAX(0,A85-가정!$B$18)/가정!$B$19,0)</f>
        <v>2</v>
      </c>
      <c r="E85" s="7" t="n">
        <f aca="false">D85*가정!$B$20+ROUNDUP(A85/가정!$B$22,0)*가정!$B$21+ROUNDUP(A85/가정!$B$24,0)*가정!$B$23</f>
        <v>12400000</v>
      </c>
      <c r="F85" s="7" t="n">
        <f aca="false">A85*가정!$B$26+B85*가정!$B$27</f>
        <v>80000</v>
      </c>
      <c r="G85" s="7" t="n">
        <f aca="false">B85*가정!$B$28</f>
        <v>0</v>
      </c>
      <c r="H85" s="7" t="n">
        <f aca="false">B85-C85-E85-F85-G85</f>
        <v>7130000</v>
      </c>
      <c r="I85" s="7" t="n">
        <f aca="false">H85-IF(가정!$B$7=1,가정!$B$5,0)</f>
        <v>3130000</v>
      </c>
      <c r="J85" s="7" t="n">
        <f aca="false">MAX(0,I85)*가정!$B$6</f>
        <v>2817000</v>
      </c>
      <c r="K85" s="7" t="n">
        <f aca="false">가정!$B$5+J85</f>
        <v>6817000</v>
      </c>
      <c r="L85" s="7" t="n">
        <f aca="false">H85-K85</f>
        <v>313000</v>
      </c>
      <c r="M85" s="8" t="n">
        <f aca="false">IF(B85=0,0,K85/B85)</f>
        <v>0.293836206896552</v>
      </c>
      <c r="N85" s="7" t="n">
        <f aca="false">K85/가정!$B$8</f>
        <v>34085</v>
      </c>
      <c r="O85" s="7" t="n">
        <f aca="false">IF(I85&gt;0,A85,"")</f>
        <v>80</v>
      </c>
      <c r="P85" s="7" t="n">
        <f aca="false">IF(L85&gt;=0,A85,"")</f>
        <v>80</v>
      </c>
      <c r="Q85" s="7" t="n">
        <f aca="false">IF(K85&gt;=가정!$B$32,A85,"")</f>
        <v>80</v>
      </c>
      <c r="R85" s="7" t="str">
        <f aca="false">IF(MAX(0,I85)*(1-가정!$B$6)*'1억 상환'!$B$6&gt;='1억 상환'!$B$5,A85,"")</f>
        <v/>
      </c>
    </row>
    <row r="86" customFormat="false" ht="15" hidden="false" customHeight="false" outlineLevel="0" collapsed="false">
      <c r="A86" s="7" t="n">
        <v>81</v>
      </c>
      <c r="B86" s="7" t="n">
        <f aca="false">A86*가정!$B$10</f>
        <v>23490000</v>
      </c>
      <c r="C86" s="7" t="n">
        <f aca="false">가정!$B$34</f>
        <v>3590000</v>
      </c>
      <c r="D86" s="7" t="n">
        <f aca="false">ROUNDUP(MAX(0,A86-가정!$B$18)/가정!$B$19,0)</f>
        <v>2</v>
      </c>
      <c r="E86" s="7" t="n">
        <f aca="false">D86*가정!$B$20+ROUNDUP(A86/가정!$B$22,0)*가정!$B$21+ROUNDUP(A86/가정!$B$24,0)*가정!$B$23</f>
        <v>12400000</v>
      </c>
      <c r="F86" s="7" t="n">
        <f aca="false">A86*가정!$B$26+B86*가정!$B$27</f>
        <v>81000</v>
      </c>
      <c r="G86" s="7" t="n">
        <f aca="false">B86*가정!$B$28</f>
        <v>0</v>
      </c>
      <c r="H86" s="7" t="n">
        <f aca="false">B86-C86-E86-F86-G86</f>
        <v>7419000</v>
      </c>
      <c r="I86" s="7" t="n">
        <f aca="false">H86-IF(가정!$B$7=1,가정!$B$5,0)</f>
        <v>3419000</v>
      </c>
      <c r="J86" s="7" t="n">
        <f aca="false">MAX(0,I86)*가정!$B$6</f>
        <v>3077100</v>
      </c>
      <c r="K86" s="7" t="n">
        <f aca="false">가정!$B$5+J86</f>
        <v>7077100</v>
      </c>
      <c r="L86" s="7" t="n">
        <f aca="false">H86-K86</f>
        <v>341900</v>
      </c>
      <c r="M86" s="8" t="n">
        <f aca="false">IF(B86=0,0,K86/B86)</f>
        <v>0.301281396338868</v>
      </c>
      <c r="N86" s="7" t="n">
        <f aca="false">K86/가정!$B$8</f>
        <v>35385.5</v>
      </c>
      <c r="O86" s="7" t="n">
        <f aca="false">IF(I86&gt;0,A86,"")</f>
        <v>81</v>
      </c>
      <c r="P86" s="7" t="n">
        <f aca="false">IF(L86&gt;=0,A86,"")</f>
        <v>81</v>
      </c>
      <c r="Q86" s="7" t="n">
        <f aca="false">IF(K86&gt;=가정!$B$32,A86,"")</f>
        <v>81</v>
      </c>
      <c r="R86" s="7" t="str">
        <f aca="false">IF(MAX(0,I86)*(1-가정!$B$6)*'1억 상환'!$B$6&gt;='1억 상환'!$B$5,A86,"")</f>
        <v/>
      </c>
    </row>
    <row r="87" customFormat="false" ht="15" hidden="false" customHeight="false" outlineLevel="0" collapsed="false">
      <c r="A87" s="7" t="n">
        <v>82</v>
      </c>
      <c r="B87" s="7" t="n">
        <f aca="false">A87*가정!$B$10</f>
        <v>23780000</v>
      </c>
      <c r="C87" s="7" t="n">
        <f aca="false">가정!$B$34</f>
        <v>3590000</v>
      </c>
      <c r="D87" s="7" t="n">
        <f aca="false">ROUNDUP(MAX(0,A87-가정!$B$18)/가정!$B$19,0)</f>
        <v>2</v>
      </c>
      <c r="E87" s="7" t="n">
        <f aca="false">D87*가정!$B$20+ROUNDUP(A87/가정!$B$22,0)*가정!$B$21+ROUNDUP(A87/가정!$B$24,0)*가정!$B$23</f>
        <v>12400000</v>
      </c>
      <c r="F87" s="7" t="n">
        <f aca="false">A87*가정!$B$26+B87*가정!$B$27</f>
        <v>82000</v>
      </c>
      <c r="G87" s="7" t="n">
        <f aca="false">B87*가정!$B$28</f>
        <v>0</v>
      </c>
      <c r="H87" s="7" t="n">
        <f aca="false">B87-C87-E87-F87-G87</f>
        <v>7708000</v>
      </c>
      <c r="I87" s="7" t="n">
        <f aca="false">H87-IF(가정!$B$7=1,가정!$B$5,0)</f>
        <v>3708000</v>
      </c>
      <c r="J87" s="7" t="n">
        <f aca="false">MAX(0,I87)*가정!$B$6</f>
        <v>3337200</v>
      </c>
      <c r="K87" s="7" t="n">
        <f aca="false">가정!$B$5+J87</f>
        <v>7337200</v>
      </c>
      <c r="L87" s="7" t="n">
        <f aca="false">H87-K87</f>
        <v>370800</v>
      </c>
      <c r="M87" s="8" t="n">
        <f aca="false">IF(B87=0,0,K87/B87)</f>
        <v>0.308544995794786</v>
      </c>
      <c r="N87" s="7" t="n">
        <f aca="false">K87/가정!$B$8</f>
        <v>36686</v>
      </c>
      <c r="O87" s="7" t="n">
        <f aca="false">IF(I87&gt;0,A87,"")</f>
        <v>82</v>
      </c>
      <c r="P87" s="7" t="n">
        <f aca="false">IF(L87&gt;=0,A87,"")</f>
        <v>82</v>
      </c>
      <c r="Q87" s="7" t="n">
        <f aca="false">IF(K87&gt;=가정!$B$32,A87,"")</f>
        <v>82</v>
      </c>
      <c r="R87" s="7" t="str">
        <f aca="false">IF(MAX(0,I87)*(1-가정!$B$6)*'1억 상환'!$B$6&gt;='1억 상환'!$B$5,A87,"")</f>
        <v/>
      </c>
    </row>
    <row r="88" customFormat="false" ht="15" hidden="false" customHeight="false" outlineLevel="0" collapsed="false">
      <c r="A88" s="7" t="n">
        <v>83</v>
      </c>
      <c r="B88" s="7" t="n">
        <f aca="false">A88*가정!$B$10</f>
        <v>24070000</v>
      </c>
      <c r="C88" s="7" t="n">
        <f aca="false">가정!$B$34</f>
        <v>3590000</v>
      </c>
      <c r="D88" s="7" t="n">
        <f aca="false">ROUNDUP(MAX(0,A88-가정!$B$18)/가정!$B$19,0)</f>
        <v>2</v>
      </c>
      <c r="E88" s="7" t="n">
        <f aca="false">D88*가정!$B$20+ROUNDUP(A88/가정!$B$22,0)*가정!$B$21+ROUNDUP(A88/가정!$B$24,0)*가정!$B$23</f>
        <v>12400000</v>
      </c>
      <c r="F88" s="7" t="n">
        <f aca="false">A88*가정!$B$26+B88*가정!$B$27</f>
        <v>83000</v>
      </c>
      <c r="G88" s="7" t="n">
        <f aca="false">B88*가정!$B$28</f>
        <v>0</v>
      </c>
      <c r="H88" s="7" t="n">
        <f aca="false">B88-C88-E88-F88-G88</f>
        <v>7997000</v>
      </c>
      <c r="I88" s="7" t="n">
        <f aca="false">H88-IF(가정!$B$7=1,가정!$B$5,0)</f>
        <v>3997000</v>
      </c>
      <c r="J88" s="7" t="n">
        <f aca="false">MAX(0,I88)*가정!$B$6</f>
        <v>3597300</v>
      </c>
      <c r="K88" s="7" t="n">
        <f aca="false">가정!$B$5+J88</f>
        <v>7597300</v>
      </c>
      <c r="L88" s="7" t="n">
        <f aca="false">H88-K88</f>
        <v>399700</v>
      </c>
      <c r="M88" s="8" t="n">
        <f aca="false">IF(B88=0,0,K88/B88)</f>
        <v>0.31563356875779</v>
      </c>
      <c r="N88" s="7" t="n">
        <f aca="false">K88/가정!$B$8</f>
        <v>37986.5</v>
      </c>
      <c r="O88" s="7" t="n">
        <f aca="false">IF(I88&gt;0,A88,"")</f>
        <v>83</v>
      </c>
      <c r="P88" s="7" t="n">
        <f aca="false">IF(L88&gt;=0,A88,"")</f>
        <v>83</v>
      </c>
      <c r="Q88" s="7" t="n">
        <f aca="false">IF(K88&gt;=가정!$B$32,A88,"")</f>
        <v>83</v>
      </c>
      <c r="R88" s="7" t="str">
        <f aca="false">IF(MAX(0,I88)*(1-가정!$B$6)*'1억 상환'!$B$6&gt;='1억 상환'!$B$5,A88,"")</f>
        <v/>
      </c>
    </row>
    <row r="89" customFormat="false" ht="15" hidden="false" customHeight="false" outlineLevel="0" collapsed="false">
      <c r="A89" s="7" t="n">
        <v>84</v>
      </c>
      <c r="B89" s="7" t="n">
        <f aca="false">A89*가정!$B$10</f>
        <v>24360000</v>
      </c>
      <c r="C89" s="7" t="n">
        <f aca="false">가정!$B$34</f>
        <v>3590000</v>
      </c>
      <c r="D89" s="7" t="n">
        <f aca="false">ROUNDUP(MAX(0,A89-가정!$B$18)/가정!$B$19,0)</f>
        <v>2</v>
      </c>
      <c r="E89" s="7" t="n">
        <f aca="false">D89*가정!$B$20+ROUNDUP(A89/가정!$B$22,0)*가정!$B$21+ROUNDUP(A89/가정!$B$24,0)*가정!$B$23</f>
        <v>12400000</v>
      </c>
      <c r="F89" s="7" t="n">
        <f aca="false">A89*가정!$B$26+B89*가정!$B$27</f>
        <v>84000</v>
      </c>
      <c r="G89" s="7" t="n">
        <f aca="false">B89*가정!$B$28</f>
        <v>0</v>
      </c>
      <c r="H89" s="7" t="n">
        <f aca="false">B89-C89-E89-F89-G89</f>
        <v>8286000</v>
      </c>
      <c r="I89" s="7" t="n">
        <f aca="false">H89-IF(가정!$B$7=1,가정!$B$5,0)</f>
        <v>4286000</v>
      </c>
      <c r="J89" s="7" t="n">
        <f aca="false">MAX(0,I89)*가정!$B$6</f>
        <v>3857400</v>
      </c>
      <c r="K89" s="7" t="n">
        <f aca="false">가정!$B$5+J89</f>
        <v>7857400</v>
      </c>
      <c r="L89" s="7" t="n">
        <f aca="false">H89-K89</f>
        <v>428600</v>
      </c>
      <c r="M89" s="8" t="n">
        <f aca="false">IF(B89=0,0,K89/B89)</f>
        <v>0.322553366174056</v>
      </c>
      <c r="N89" s="7" t="n">
        <f aca="false">K89/가정!$B$8</f>
        <v>39287</v>
      </c>
      <c r="O89" s="7" t="n">
        <f aca="false">IF(I89&gt;0,A89,"")</f>
        <v>84</v>
      </c>
      <c r="P89" s="7" t="n">
        <f aca="false">IF(L89&gt;=0,A89,"")</f>
        <v>84</v>
      </c>
      <c r="Q89" s="7" t="n">
        <f aca="false">IF(K89&gt;=가정!$B$32,A89,"")</f>
        <v>84</v>
      </c>
      <c r="R89" s="7" t="str">
        <f aca="false">IF(MAX(0,I89)*(1-가정!$B$6)*'1억 상환'!$B$6&gt;='1억 상환'!$B$5,A89,"")</f>
        <v/>
      </c>
    </row>
    <row r="90" customFormat="false" ht="15" hidden="false" customHeight="false" outlineLevel="0" collapsed="false">
      <c r="A90" s="7" t="n">
        <v>85</v>
      </c>
      <c r="B90" s="7" t="n">
        <f aca="false">A90*가정!$B$10</f>
        <v>24650000</v>
      </c>
      <c r="C90" s="7" t="n">
        <f aca="false">가정!$B$34</f>
        <v>3590000</v>
      </c>
      <c r="D90" s="7" t="n">
        <f aca="false">ROUNDUP(MAX(0,A90-가정!$B$18)/가정!$B$19,0)</f>
        <v>2</v>
      </c>
      <c r="E90" s="7" t="n">
        <f aca="false">D90*가정!$B$20+ROUNDUP(A90/가정!$B$22,0)*가정!$B$21+ROUNDUP(A90/가정!$B$24,0)*가정!$B$23</f>
        <v>12400000</v>
      </c>
      <c r="F90" s="7" t="n">
        <f aca="false">A90*가정!$B$26+B90*가정!$B$27</f>
        <v>85000</v>
      </c>
      <c r="G90" s="7" t="n">
        <f aca="false">B90*가정!$B$28</f>
        <v>0</v>
      </c>
      <c r="H90" s="7" t="n">
        <f aca="false">B90-C90-E90-F90-G90</f>
        <v>8575000</v>
      </c>
      <c r="I90" s="7" t="n">
        <f aca="false">H90-IF(가정!$B$7=1,가정!$B$5,0)</f>
        <v>4575000</v>
      </c>
      <c r="J90" s="7" t="n">
        <f aca="false">MAX(0,I90)*가정!$B$6</f>
        <v>4117500</v>
      </c>
      <c r="K90" s="7" t="n">
        <f aca="false">가정!$B$5+J90</f>
        <v>8117500</v>
      </c>
      <c r="L90" s="7" t="n">
        <f aca="false">H90-K90</f>
        <v>457500</v>
      </c>
      <c r="M90" s="8" t="n">
        <f aca="false">IF(B90=0,0,K90/B90)</f>
        <v>0.329310344827586</v>
      </c>
      <c r="N90" s="7" t="n">
        <f aca="false">K90/가정!$B$8</f>
        <v>40587.5</v>
      </c>
      <c r="O90" s="7" t="n">
        <f aca="false">IF(I90&gt;0,A90,"")</f>
        <v>85</v>
      </c>
      <c r="P90" s="7" t="n">
        <f aca="false">IF(L90&gt;=0,A90,"")</f>
        <v>85</v>
      </c>
      <c r="Q90" s="7" t="n">
        <f aca="false">IF(K90&gt;=가정!$B$32,A90,"")</f>
        <v>85</v>
      </c>
      <c r="R90" s="7" t="str">
        <f aca="false">IF(MAX(0,I90)*(1-가정!$B$6)*'1억 상환'!$B$6&gt;='1억 상환'!$B$5,A90,"")</f>
        <v/>
      </c>
    </row>
    <row r="91" customFormat="false" ht="15" hidden="false" customHeight="false" outlineLevel="0" collapsed="false">
      <c r="A91" s="7" t="n">
        <v>86</v>
      </c>
      <c r="B91" s="7" t="n">
        <f aca="false">A91*가정!$B$10</f>
        <v>24940000</v>
      </c>
      <c r="C91" s="7" t="n">
        <f aca="false">가정!$B$34</f>
        <v>3590000</v>
      </c>
      <c r="D91" s="7" t="n">
        <f aca="false">ROUNDUP(MAX(0,A91-가정!$B$18)/가정!$B$19,0)</f>
        <v>2</v>
      </c>
      <c r="E91" s="7" t="n">
        <f aca="false">D91*가정!$B$20+ROUNDUP(A91/가정!$B$22,0)*가정!$B$21+ROUNDUP(A91/가정!$B$24,0)*가정!$B$23</f>
        <v>12400000</v>
      </c>
      <c r="F91" s="7" t="n">
        <f aca="false">A91*가정!$B$26+B91*가정!$B$27</f>
        <v>86000</v>
      </c>
      <c r="G91" s="7" t="n">
        <f aca="false">B91*가정!$B$28</f>
        <v>0</v>
      </c>
      <c r="H91" s="7" t="n">
        <f aca="false">B91-C91-E91-F91-G91</f>
        <v>8864000</v>
      </c>
      <c r="I91" s="7" t="n">
        <f aca="false">H91-IF(가정!$B$7=1,가정!$B$5,0)</f>
        <v>4864000</v>
      </c>
      <c r="J91" s="7" t="n">
        <f aca="false">MAX(0,I91)*가정!$B$6</f>
        <v>4377600</v>
      </c>
      <c r="K91" s="7" t="n">
        <f aca="false">가정!$B$5+J91</f>
        <v>8377600</v>
      </c>
      <c r="L91" s="7" t="n">
        <f aca="false">H91-K91</f>
        <v>486400</v>
      </c>
      <c r="M91" s="8" t="n">
        <f aca="false">IF(B91=0,0,K91/B91)</f>
        <v>0.335910184442662</v>
      </c>
      <c r="N91" s="7" t="n">
        <f aca="false">K91/가정!$B$8</f>
        <v>41888</v>
      </c>
      <c r="O91" s="7" t="n">
        <f aca="false">IF(I91&gt;0,A91,"")</f>
        <v>86</v>
      </c>
      <c r="P91" s="7" t="n">
        <f aca="false">IF(L91&gt;=0,A91,"")</f>
        <v>86</v>
      </c>
      <c r="Q91" s="7" t="n">
        <f aca="false">IF(K91&gt;=가정!$B$32,A91,"")</f>
        <v>86</v>
      </c>
      <c r="R91" s="7" t="str">
        <f aca="false">IF(MAX(0,I91)*(1-가정!$B$6)*'1억 상환'!$B$6&gt;='1억 상환'!$B$5,A91,"")</f>
        <v/>
      </c>
    </row>
    <row r="92" customFormat="false" ht="15" hidden="false" customHeight="false" outlineLevel="0" collapsed="false">
      <c r="A92" s="7" t="n">
        <v>87</v>
      </c>
      <c r="B92" s="7" t="n">
        <f aca="false">A92*가정!$B$10</f>
        <v>25230000</v>
      </c>
      <c r="C92" s="7" t="n">
        <f aca="false">가정!$B$34</f>
        <v>3590000</v>
      </c>
      <c r="D92" s="7" t="n">
        <f aca="false">ROUNDUP(MAX(0,A92-가정!$B$18)/가정!$B$19,0)</f>
        <v>2</v>
      </c>
      <c r="E92" s="7" t="n">
        <f aca="false">D92*가정!$B$20+ROUNDUP(A92/가정!$B$22,0)*가정!$B$21+ROUNDUP(A92/가정!$B$24,0)*가정!$B$23</f>
        <v>12400000</v>
      </c>
      <c r="F92" s="7" t="n">
        <f aca="false">A92*가정!$B$26+B92*가정!$B$27</f>
        <v>87000</v>
      </c>
      <c r="G92" s="7" t="n">
        <f aca="false">B92*가정!$B$28</f>
        <v>0</v>
      </c>
      <c r="H92" s="7" t="n">
        <f aca="false">B92-C92-E92-F92-G92</f>
        <v>9153000</v>
      </c>
      <c r="I92" s="7" t="n">
        <f aca="false">H92-IF(가정!$B$7=1,가정!$B$5,0)</f>
        <v>5153000</v>
      </c>
      <c r="J92" s="7" t="n">
        <f aca="false">MAX(0,I92)*가정!$B$6</f>
        <v>4637700</v>
      </c>
      <c r="K92" s="7" t="n">
        <f aca="false">가정!$B$5+J92</f>
        <v>8637700</v>
      </c>
      <c r="L92" s="7" t="n">
        <f aca="false">H92-K92</f>
        <v>515300</v>
      </c>
      <c r="M92" s="8" t="n">
        <f aca="false">IF(B92=0,0,K92/B92)</f>
        <v>0.342358303606817</v>
      </c>
      <c r="N92" s="7" t="n">
        <f aca="false">K92/가정!$B$8</f>
        <v>43188.5</v>
      </c>
      <c r="O92" s="7" t="n">
        <f aca="false">IF(I92&gt;0,A92,"")</f>
        <v>87</v>
      </c>
      <c r="P92" s="7" t="n">
        <f aca="false">IF(L92&gt;=0,A92,"")</f>
        <v>87</v>
      </c>
      <c r="Q92" s="7" t="n">
        <f aca="false">IF(K92&gt;=가정!$B$32,A92,"")</f>
        <v>87</v>
      </c>
      <c r="R92" s="7" t="str">
        <f aca="false">IF(MAX(0,I92)*(1-가정!$B$6)*'1억 상환'!$B$6&gt;='1억 상환'!$B$5,A92,"")</f>
        <v/>
      </c>
    </row>
    <row r="93" customFormat="false" ht="15" hidden="false" customHeight="false" outlineLevel="0" collapsed="false">
      <c r="A93" s="7" t="n">
        <v>88</v>
      </c>
      <c r="B93" s="7" t="n">
        <f aca="false">A93*가정!$B$10</f>
        <v>25520000</v>
      </c>
      <c r="C93" s="7" t="n">
        <f aca="false">가정!$B$34</f>
        <v>3590000</v>
      </c>
      <c r="D93" s="7" t="n">
        <f aca="false">ROUNDUP(MAX(0,A93-가정!$B$18)/가정!$B$19,0)</f>
        <v>2</v>
      </c>
      <c r="E93" s="7" t="n">
        <f aca="false">D93*가정!$B$20+ROUNDUP(A93/가정!$B$22,0)*가정!$B$21+ROUNDUP(A93/가정!$B$24,0)*가정!$B$23</f>
        <v>12400000</v>
      </c>
      <c r="F93" s="7" t="n">
        <f aca="false">A93*가정!$B$26+B93*가정!$B$27</f>
        <v>88000</v>
      </c>
      <c r="G93" s="7" t="n">
        <f aca="false">B93*가정!$B$28</f>
        <v>0</v>
      </c>
      <c r="H93" s="7" t="n">
        <f aca="false">B93-C93-E93-F93-G93</f>
        <v>9442000</v>
      </c>
      <c r="I93" s="7" t="n">
        <f aca="false">H93-IF(가정!$B$7=1,가정!$B$5,0)</f>
        <v>5442000</v>
      </c>
      <c r="J93" s="7" t="n">
        <f aca="false">MAX(0,I93)*가정!$B$6</f>
        <v>4897800</v>
      </c>
      <c r="K93" s="7" t="n">
        <f aca="false">가정!$B$5+J93</f>
        <v>8897800</v>
      </c>
      <c r="L93" s="7" t="n">
        <f aca="false">H93-K93</f>
        <v>544200</v>
      </c>
      <c r="M93" s="8" t="n">
        <f aca="false">IF(B93=0,0,K93/B93)</f>
        <v>0.34865987460815</v>
      </c>
      <c r="N93" s="7" t="n">
        <f aca="false">K93/가정!$B$8</f>
        <v>44489</v>
      </c>
      <c r="O93" s="7" t="n">
        <f aca="false">IF(I93&gt;0,A93,"")</f>
        <v>88</v>
      </c>
      <c r="P93" s="7" t="n">
        <f aca="false">IF(L93&gt;=0,A93,"")</f>
        <v>88</v>
      </c>
      <c r="Q93" s="7" t="n">
        <f aca="false">IF(K93&gt;=가정!$B$32,A93,"")</f>
        <v>88</v>
      </c>
      <c r="R93" s="7" t="str">
        <f aca="false">IF(MAX(0,I93)*(1-가정!$B$6)*'1억 상환'!$B$6&gt;='1억 상환'!$B$5,A93,"")</f>
        <v/>
      </c>
    </row>
    <row r="94" customFormat="false" ht="15" hidden="false" customHeight="false" outlineLevel="0" collapsed="false">
      <c r="A94" s="7" t="n">
        <v>89</v>
      </c>
      <c r="B94" s="7" t="n">
        <f aca="false">A94*가정!$B$10</f>
        <v>25810000</v>
      </c>
      <c r="C94" s="7" t="n">
        <f aca="false">가정!$B$34</f>
        <v>3590000</v>
      </c>
      <c r="D94" s="7" t="n">
        <f aca="false">ROUNDUP(MAX(0,A94-가정!$B$18)/가정!$B$19,0)</f>
        <v>2</v>
      </c>
      <c r="E94" s="7" t="n">
        <f aca="false">D94*가정!$B$20+ROUNDUP(A94/가정!$B$22,0)*가정!$B$21+ROUNDUP(A94/가정!$B$24,0)*가정!$B$23</f>
        <v>12400000</v>
      </c>
      <c r="F94" s="7" t="n">
        <f aca="false">A94*가정!$B$26+B94*가정!$B$27</f>
        <v>89000</v>
      </c>
      <c r="G94" s="7" t="n">
        <f aca="false">B94*가정!$B$28</f>
        <v>0</v>
      </c>
      <c r="H94" s="7" t="n">
        <f aca="false">B94-C94-E94-F94-G94</f>
        <v>9731000</v>
      </c>
      <c r="I94" s="7" t="n">
        <f aca="false">H94-IF(가정!$B$7=1,가정!$B$5,0)</f>
        <v>5731000</v>
      </c>
      <c r="J94" s="7" t="n">
        <f aca="false">MAX(0,I94)*가정!$B$6</f>
        <v>5157900</v>
      </c>
      <c r="K94" s="7" t="n">
        <f aca="false">가정!$B$5+J94</f>
        <v>9157900</v>
      </c>
      <c r="L94" s="7" t="n">
        <f aca="false">H94-K94</f>
        <v>573100</v>
      </c>
      <c r="M94" s="8" t="n">
        <f aca="false">IF(B94=0,0,K94/B94)</f>
        <v>0.354819837272375</v>
      </c>
      <c r="N94" s="7" t="n">
        <f aca="false">K94/가정!$B$8</f>
        <v>45789.5</v>
      </c>
      <c r="O94" s="7" t="n">
        <f aca="false">IF(I94&gt;0,A94,"")</f>
        <v>89</v>
      </c>
      <c r="P94" s="7" t="n">
        <f aca="false">IF(L94&gt;=0,A94,"")</f>
        <v>89</v>
      </c>
      <c r="Q94" s="7" t="n">
        <f aca="false">IF(K94&gt;=가정!$B$32,A94,"")</f>
        <v>89</v>
      </c>
      <c r="R94" s="7" t="str">
        <f aca="false">IF(MAX(0,I94)*(1-가정!$B$6)*'1억 상환'!$B$6&gt;='1억 상환'!$B$5,A94,"")</f>
        <v/>
      </c>
    </row>
    <row r="95" customFormat="false" ht="15" hidden="false" customHeight="false" outlineLevel="0" collapsed="false">
      <c r="A95" s="7" t="n">
        <v>90</v>
      </c>
      <c r="B95" s="7" t="n">
        <f aca="false">A95*가정!$B$10</f>
        <v>26100000</v>
      </c>
      <c r="C95" s="7" t="n">
        <f aca="false">가정!$B$34</f>
        <v>3590000</v>
      </c>
      <c r="D95" s="7" t="n">
        <f aca="false">ROUNDUP(MAX(0,A95-가정!$B$18)/가정!$B$19,0)</f>
        <v>2</v>
      </c>
      <c r="E95" s="7" t="n">
        <f aca="false">D95*가정!$B$20+ROUNDUP(A95/가정!$B$22,0)*가정!$B$21+ROUNDUP(A95/가정!$B$24,0)*가정!$B$23</f>
        <v>12400000</v>
      </c>
      <c r="F95" s="7" t="n">
        <f aca="false">A95*가정!$B$26+B95*가정!$B$27</f>
        <v>90000</v>
      </c>
      <c r="G95" s="7" t="n">
        <f aca="false">B95*가정!$B$28</f>
        <v>0</v>
      </c>
      <c r="H95" s="7" t="n">
        <f aca="false">B95-C95-E95-F95-G95</f>
        <v>10020000</v>
      </c>
      <c r="I95" s="7" t="n">
        <f aca="false">H95-IF(가정!$B$7=1,가정!$B$5,0)</f>
        <v>6020000</v>
      </c>
      <c r="J95" s="7" t="n">
        <f aca="false">MAX(0,I95)*가정!$B$6</f>
        <v>5418000</v>
      </c>
      <c r="K95" s="7" t="n">
        <f aca="false">가정!$B$5+J95</f>
        <v>9418000</v>
      </c>
      <c r="L95" s="7" t="n">
        <f aca="false">H95-K95</f>
        <v>602000</v>
      </c>
      <c r="M95" s="8" t="n">
        <f aca="false">IF(B95=0,0,K95/B95)</f>
        <v>0.360842911877395</v>
      </c>
      <c r="N95" s="7" t="n">
        <f aca="false">K95/가정!$B$8</f>
        <v>47090</v>
      </c>
      <c r="O95" s="7" t="n">
        <f aca="false">IF(I95&gt;0,A95,"")</f>
        <v>90</v>
      </c>
      <c r="P95" s="7" t="n">
        <f aca="false">IF(L95&gt;=0,A95,"")</f>
        <v>90</v>
      </c>
      <c r="Q95" s="7" t="n">
        <f aca="false">IF(K95&gt;=가정!$B$32,A95,"")</f>
        <v>90</v>
      </c>
      <c r="R95" s="7" t="str">
        <f aca="false">IF(MAX(0,I95)*(1-가정!$B$6)*'1억 상환'!$B$6&gt;='1억 상환'!$B$5,A95,"")</f>
        <v/>
      </c>
    </row>
    <row r="96" customFormat="false" ht="15" hidden="false" customHeight="false" outlineLevel="0" collapsed="false">
      <c r="A96" s="7" t="n">
        <v>91</v>
      </c>
      <c r="B96" s="7" t="n">
        <f aca="false">A96*가정!$B$10</f>
        <v>26390000</v>
      </c>
      <c r="C96" s="7" t="n">
        <f aca="false">가정!$B$34</f>
        <v>3590000</v>
      </c>
      <c r="D96" s="7" t="n">
        <f aca="false">ROUNDUP(MAX(0,A96-가정!$B$18)/가정!$B$19,0)</f>
        <v>2</v>
      </c>
      <c r="E96" s="7" t="n">
        <f aca="false">D96*가정!$B$20+ROUNDUP(A96/가정!$B$22,0)*가정!$B$21+ROUNDUP(A96/가정!$B$24,0)*가정!$B$23</f>
        <v>12400000</v>
      </c>
      <c r="F96" s="7" t="n">
        <f aca="false">A96*가정!$B$26+B96*가정!$B$27</f>
        <v>91000</v>
      </c>
      <c r="G96" s="7" t="n">
        <f aca="false">B96*가정!$B$28</f>
        <v>0</v>
      </c>
      <c r="H96" s="7" t="n">
        <f aca="false">B96-C96-E96-F96-G96</f>
        <v>10309000</v>
      </c>
      <c r="I96" s="7" t="n">
        <f aca="false">H96-IF(가정!$B$7=1,가정!$B$5,0)</f>
        <v>6309000</v>
      </c>
      <c r="J96" s="7" t="n">
        <f aca="false">MAX(0,I96)*가정!$B$6</f>
        <v>5678100</v>
      </c>
      <c r="K96" s="7" t="n">
        <f aca="false">가정!$B$5+J96</f>
        <v>9678100</v>
      </c>
      <c r="L96" s="7" t="n">
        <f aca="false">H96-K96</f>
        <v>630900</v>
      </c>
      <c r="M96" s="8" t="n">
        <f aca="false">IF(B96=0,0,K96/B96)</f>
        <v>0.36673361121637</v>
      </c>
      <c r="N96" s="7" t="n">
        <f aca="false">K96/가정!$B$8</f>
        <v>48390.5</v>
      </c>
      <c r="O96" s="7" t="n">
        <f aca="false">IF(I96&gt;0,A96,"")</f>
        <v>91</v>
      </c>
      <c r="P96" s="7" t="n">
        <f aca="false">IF(L96&gt;=0,A96,"")</f>
        <v>91</v>
      </c>
      <c r="Q96" s="7" t="n">
        <f aca="false">IF(K96&gt;=가정!$B$32,A96,"")</f>
        <v>91</v>
      </c>
      <c r="R96" s="7" t="str">
        <f aca="false">IF(MAX(0,I96)*(1-가정!$B$6)*'1억 상환'!$B$6&gt;='1억 상환'!$B$5,A96,"")</f>
        <v/>
      </c>
    </row>
    <row r="97" customFormat="false" ht="15" hidden="false" customHeight="false" outlineLevel="0" collapsed="false">
      <c r="A97" s="7" t="n">
        <v>92</v>
      </c>
      <c r="B97" s="7" t="n">
        <f aca="false">A97*가정!$B$10</f>
        <v>26680000</v>
      </c>
      <c r="C97" s="7" t="n">
        <f aca="false">가정!$B$34</f>
        <v>3590000</v>
      </c>
      <c r="D97" s="7" t="n">
        <f aca="false">ROUNDUP(MAX(0,A97-가정!$B$18)/가정!$B$19,0)</f>
        <v>2</v>
      </c>
      <c r="E97" s="7" t="n">
        <f aca="false">D97*가정!$B$20+ROUNDUP(A97/가정!$B$22,0)*가정!$B$21+ROUNDUP(A97/가정!$B$24,0)*가정!$B$23</f>
        <v>12400000</v>
      </c>
      <c r="F97" s="7" t="n">
        <f aca="false">A97*가정!$B$26+B97*가정!$B$27</f>
        <v>92000</v>
      </c>
      <c r="G97" s="7" t="n">
        <f aca="false">B97*가정!$B$28</f>
        <v>0</v>
      </c>
      <c r="H97" s="7" t="n">
        <f aca="false">B97-C97-E97-F97-G97</f>
        <v>10598000</v>
      </c>
      <c r="I97" s="7" t="n">
        <f aca="false">H97-IF(가정!$B$7=1,가정!$B$5,0)</f>
        <v>6598000</v>
      </c>
      <c r="J97" s="7" t="n">
        <f aca="false">MAX(0,I97)*가정!$B$6</f>
        <v>5938200</v>
      </c>
      <c r="K97" s="7" t="n">
        <f aca="false">가정!$B$5+J97</f>
        <v>9938200</v>
      </c>
      <c r="L97" s="7" t="n">
        <f aca="false">H97-K97</f>
        <v>659800</v>
      </c>
      <c r="M97" s="8" t="n">
        <f aca="false">IF(B97=0,0,K97/B97)</f>
        <v>0.372496251874063</v>
      </c>
      <c r="N97" s="7" t="n">
        <f aca="false">K97/가정!$B$8</f>
        <v>49691</v>
      </c>
      <c r="O97" s="7" t="n">
        <f aca="false">IF(I97&gt;0,A97,"")</f>
        <v>92</v>
      </c>
      <c r="P97" s="7" t="n">
        <f aca="false">IF(L97&gt;=0,A97,"")</f>
        <v>92</v>
      </c>
      <c r="Q97" s="7" t="n">
        <f aca="false">IF(K97&gt;=가정!$B$32,A97,"")</f>
        <v>92</v>
      </c>
      <c r="R97" s="7" t="str">
        <f aca="false">IF(MAX(0,I97)*(1-가정!$B$6)*'1억 상환'!$B$6&gt;='1억 상환'!$B$5,A97,"")</f>
        <v/>
      </c>
    </row>
    <row r="98" customFormat="false" ht="15" hidden="false" customHeight="false" outlineLevel="0" collapsed="false">
      <c r="A98" s="7" t="n">
        <v>93</v>
      </c>
      <c r="B98" s="7" t="n">
        <f aca="false">A98*가정!$B$10</f>
        <v>26970000</v>
      </c>
      <c r="C98" s="7" t="n">
        <f aca="false">가정!$B$34</f>
        <v>3590000</v>
      </c>
      <c r="D98" s="7" t="n">
        <f aca="false">ROUNDUP(MAX(0,A98-가정!$B$18)/가정!$B$19,0)</f>
        <v>2</v>
      </c>
      <c r="E98" s="7" t="n">
        <f aca="false">D98*가정!$B$20+ROUNDUP(A98/가정!$B$22,0)*가정!$B$21+ROUNDUP(A98/가정!$B$24,0)*가정!$B$23</f>
        <v>12400000</v>
      </c>
      <c r="F98" s="7" t="n">
        <f aca="false">A98*가정!$B$26+B98*가정!$B$27</f>
        <v>93000</v>
      </c>
      <c r="G98" s="7" t="n">
        <f aca="false">B98*가정!$B$28</f>
        <v>0</v>
      </c>
      <c r="H98" s="7" t="n">
        <f aca="false">B98-C98-E98-F98-G98</f>
        <v>10887000</v>
      </c>
      <c r="I98" s="7" t="n">
        <f aca="false">H98-IF(가정!$B$7=1,가정!$B$5,0)</f>
        <v>6887000</v>
      </c>
      <c r="J98" s="7" t="n">
        <f aca="false">MAX(0,I98)*가정!$B$6</f>
        <v>6198300</v>
      </c>
      <c r="K98" s="7" t="n">
        <f aca="false">가정!$B$5+J98</f>
        <v>10198300</v>
      </c>
      <c r="L98" s="7" t="n">
        <f aca="false">H98-K98</f>
        <v>688700</v>
      </c>
      <c r="M98" s="8" t="n">
        <f aca="false">IF(B98=0,0,K98/B98)</f>
        <v>0.378134964775677</v>
      </c>
      <c r="N98" s="7" t="n">
        <f aca="false">K98/가정!$B$8</f>
        <v>50991.5</v>
      </c>
      <c r="O98" s="7" t="n">
        <f aca="false">IF(I98&gt;0,A98,"")</f>
        <v>93</v>
      </c>
      <c r="P98" s="7" t="n">
        <f aca="false">IF(L98&gt;=0,A98,"")</f>
        <v>93</v>
      </c>
      <c r="Q98" s="7" t="n">
        <f aca="false">IF(K98&gt;=가정!$B$32,A98,"")</f>
        <v>93</v>
      </c>
      <c r="R98" s="7" t="str">
        <f aca="false">IF(MAX(0,I98)*(1-가정!$B$6)*'1억 상환'!$B$6&gt;='1억 상환'!$B$5,A98,"")</f>
        <v/>
      </c>
    </row>
    <row r="99" customFormat="false" ht="15" hidden="false" customHeight="false" outlineLevel="0" collapsed="false">
      <c r="A99" s="7" t="n">
        <v>94</v>
      </c>
      <c r="B99" s="7" t="n">
        <f aca="false">A99*가정!$B$10</f>
        <v>27260000</v>
      </c>
      <c r="C99" s="7" t="n">
        <f aca="false">가정!$B$34</f>
        <v>3590000</v>
      </c>
      <c r="D99" s="7" t="n">
        <f aca="false">ROUNDUP(MAX(0,A99-가정!$B$18)/가정!$B$19,0)</f>
        <v>2</v>
      </c>
      <c r="E99" s="7" t="n">
        <f aca="false">D99*가정!$B$20+ROUNDUP(A99/가정!$B$22,0)*가정!$B$21+ROUNDUP(A99/가정!$B$24,0)*가정!$B$23</f>
        <v>12400000</v>
      </c>
      <c r="F99" s="7" t="n">
        <f aca="false">A99*가정!$B$26+B99*가정!$B$27</f>
        <v>94000</v>
      </c>
      <c r="G99" s="7" t="n">
        <f aca="false">B99*가정!$B$28</f>
        <v>0</v>
      </c>
      <c r="H99" s="7" t="n">
        <f aca="false">B99-C99-E99-F99-G99</f>
        <v>11176000</v>
      </c>
      <c r="I99" s="7" t="n">
        <f aca="false">H99-IF(가정!$B$7=1,가정!$B$5,0)</f>
        <v>7176000</v>
      </c>
      <c r="J99" s="7" t="n">
        <f aca="false">MAX(0,I99)*가정!$B$6</f>
        <v>6458400</v>
      </c>
      <c r="K99" s="7" t="n">
        <f aca="false">가정!$B$5+J99</f>
        <v>10458400</v>
      </c>
      <c r="L99" s="7" t="n">
        <f aca="false">H99-K99</f>
        <v>717600</v>
      </c>
      <c r="M99" s="8" t="n">
        <f aca="false">IF(B99=0,0,K99/B99)</f>
        <v>0.383653705062362</v>
      </c>
      <c r="N99" s="7" t="n">
        <f aca="false">K99/가정!$B$8</f>
        <v>52292</v>
      </c>
      <c r="O99" s="7" t="n">
        <f aca="false">IF(I99&gt;0,A99,"")</f>
        <v>94</v>
      </c>
      <c r="P99" s="7" t="n">
        <f aca="false">IF(L99&gt;=0,A99,"")</f>
        <v>94</v>
      </c>
      <c r="Q99" s="7" t="n">
        <f aca="false">IF(K99&gt;=가정!$B$32,A99,"")</f>
        <v>94</v>
      </c>
      <c r="R99" s="7" t="str">
        <f aca="false">IF(MAX(0,I99)*(1-가정!$B$6)*'1억 상환'!$B$6&gt;='1억 상환'!$B$5,A99,"")</f>
        <v/>
      </c>
    </row>
    <row r="100" customFormat="false" ht="15" hidden="false" customHeight="false" outlineLevel="0" collapsed="false">
      <c r="A100" s="7" t="n">
        <v>95</v>
      </c>
      <c r="B100" s="7" t="n">
        <f aca="false">A100*가정!$B$10</f>
        <v>27550000</v>
      </c>
      <c r="C100" s="7" t="n">
        <f aca="false">가정!$B$34</f>
        <v>3590000</v>
      </c>
      <c r="D100" s="7" t="n">
        <f aca="false">ROUNDUP(MAX(0,A100-가정!$B$18)/가정!$B$19,0)</f>
        <v>2</v>
      </c>
      <c r="E100" s="7" t="n">
        <f aca="false">D100*가정!$B$20+ROUNDUP(A100/가정!$B$22,0)*가정!$B$21+ROUNDUP(A100/가정!$B$24,0)*가정!$B$23</f>
        <v>12400000</v>
      </c>
      <c r="F100" s="7" t="n">
        <f aca="false">A100*가정!$B$26+B100*가정!$B$27</f>
        <v>95000</v>
      </c>
      <c r="G100" s="7" t="n">
        <f aca="false">B100*가정!$B$28</f>
        <v>0</v>
      </c>
      <c r="H100" s="7" t="n">
        <f aca="false">B100-C100-E100-F100-G100</f>
        <v>11465000</v>
      </c>
      <c r="I100" s="7" t="n">
        <f aca="false">H100-IF(가정!$B$7=1,가정!$B$5,0)</f>
        <v>7465000</v>
      </c>
      <c r="J100" s="7" t="n">
        <f aca="false">MAX(0,I100)*가정!$B$6</f>
        <v>6718500</v>
      </c>
      <c r="K100" s="7" t="n">
        <f aca="false">가정!$B$5+J100</f>
        <v>10718500</v>
      </c>
      <c r="L100" s="7" t="n">
        <f aca="false">H100-K100</f>
        <v>746500</v>
      </c>
      <c r="M100" s="8" t="n">
        <f aca="false">IF(B100=0,0,K100/B100)</f>
        <v>0.389056261343013</v>
      </c>
      <c r="N100" s="7" t="n">
        <f aca="false">K100/가정!$B$8</f>
        <v>53592.5</v>
      </c>
      <c r="O100" s="7" t="n">
        <f aca="false">IF(I100&gt;0,A100,"")</f>
        <v>95</v>
      </c>
      <c r="P100" s="7" t="n">
        <f aca="false">IF(L100&gt;=0,A100,"")</f>
        <v>95</v>
      </c>
      <c r="Q100" s="7" t="n">
        <f aca="false">IF(K100&gt;=가정!$B$32,A100,"")</f>
        <v>95</v>
      </c>
      <c r="R100" s="7" t="str">
        <f aca="false">IF(MAX(0,I100)*(1-가정!$B$6)*'1억 상환'!$B$6&gt;='1억 상환'!$B$5,A100,"")</f>
        <v/>
      </c>
    </row>
    <row r="101" customFormat="false" ht="15" hidden="false" customHeight="false" outlineLevel="0" collapsed="false">
      <c r="A101" s="7" t="n">
        <v>96</v>
      </c>
      <c r="B101" s="7" t="n">
        <f aca="false">A101*가정!$B$10</f>
        <v>27840000</v>
      </c>
      <c r="C101" s="7" t="n">
        <f aca="false">가정!$B$34</f>
        <v>3590000</v>
      </c>
      <c r="D101" s="7" t="n">
        <f aca="false">ROUNDUP(MAX(0,A101-가정!$B$18)/가정!$B$19,0)</f>
        <v>2</v>
      </c>
      <c r="E101" s="7" t="n">
        <f aca="false">D101*가정!$B$20+ROUNDUP(A101/가정!$B$22,0)*가정!$B$21+ROUNDUP(A101/가정!$B$24,0)*가정!$B$23</f>
        <v>12400000</v>
      </c>
      <c r="F101" s="7" t="n">
        <f aca="false">A101*가정!$B$26+B101*가정!$B$27</f>
        <v>96000</v>
      </c>
      <c r="G101" s="7" t="n">
        <f aca="false">B101*가정!$B$28</f>
        <v>0</v>
      </c>
      <c r="H101" s="7" t="n">
        <f aca="false">B101-C101-E101-F101-G101</f>
        <v>11754000</v>
      </c>
      <c r="I101" s="7" t="n">
        <f aca="false">H101-IF(가정!$B$7=1,가정!$B$5,0)</f>
        <v>7754000</v>
      </c>
      <c r="J101" s="7" t="n">
        <f aca="false">MAX(0,I101)*가정!$B$6</f>
        <v>6978600</v>
      </c>
      <c r="K101" s="7" t="n">
        <f aca="false">가정!$B$5+J101</f>
        <v>10978600</v>
      </c>
      <c r="L101" s="7" t="n">
        <f aca="false">H101-K101</f>
        <v>775400</v>
      </c>
      <c r="M101" s="8" t="n">
        <f aca="false">IF(B101=0,0,K101/B101)</f>
        <v>0.394346264367816</v>
      </c>
      <c r="N101" s="7" t="n">
        <f aca="false">K101/가정!$B$8</f>
        <v>54893</v>
      </c>
      <c r="O101" s="7" t="n">
        <f aca="false">IF(I101&gt;0,A101,"")</f>
        <v>96</v>
      </c>
      <c r="P101" s="7" t="n">
        <f aca="false">IF(L101&gt;=0,A101,"")</f>
        <v>96</v>
      </c>
      <c r="Q101" s="7" t="n">
        <f aca="false">IF(K101&gt;=가정!$B$32,A101,"")</f>
        <v>96</v>
      </c>
      <c r="R101" s="7" t="str">
        <f aca="false">IF(MAX(0,I101)*(1-가정!$B$6)*'1억 상환'!$B$6&gt;='1억 상환'!$B$5,A101,"")</f>
        <v/>
      </c>
    </row>
    <row r="102" customFormat="false" ht="15" hidden="false" customHeight="false" outlineLevel="0" collapsed="false">
      <c r="A102" s="7" t="n">
        <v>97</v>
      </c>
      <c r="B102" s="7" t="n">
        <f aca="false">A102*가정!$B$10</f>
        <v>28130000</v>
      </c>
      <c r="C102" s="7" t="n">
        <f aca="false">가정!$B$34</f>
        <v>3590000</v>
      </c>
      <c r="D102" s="7" t="n">
        <f aca="false">ROUNDUP(MAX(0,A102-가정!$B$18)/가정!$B$19,0)</f>
        <v>2</v>
      </c>
      <c r="E102" s="7" t="n">
        <f aca="false">D102*가정!$B$20+ROUNDUP(A102/가정!$B$22,0)*가정!$B$21+ROUNDUP(A102/가정!$B$24,0)*가정!$B$23</f>
        <v>12400000</v>
      </c>
      <c r="F102" s="7" t="n">
        <f aca="false">A102*가정!$B$26+B102*가정!$B$27</f>
        <v>97000</v>
      </c>
      <c r="G102" s="7" t="n">
        <f aca="false">B102*가정!$B$28</f>
        <v>0</v>
      </c>
      <c r="H102" s="7" t="n">
        <f aca="false">B102-C102-E102-F102-G102</f>
        <v>12043000</v>
      </c>
      <c r="I102" s="7" t="n">
        <f aca="false">H102-IF(가정!$B$7=1,가정!$B$5,0)</f>
        <v>8043000</v>
      </c>
      <c r="J102" s="7" t="n">
        <f aca="false">MAX(0,I102)*가정!$B$6</f>
        <v>7238700</v>
      </c>
      <c r="K102" s="7" t="n">
        <f aca="false">가정!$B$5+J102</f>
        <v>11238700</v>
      </c>
      <c r="L102" s="7" t="n">
        <f aca="false">H102-K102</f>
        <v>804300</v>
      </c>
      <c r="M102" s="8" t="n">
        <f aca="false">IF(B102=0,0,K102/B102)</f>
        <v>0.399527195165304</v>
      </c>
      <c r="N102" s="7" t="n">
        <f aca="false">K102/가정!$B$8</f>
        <v>56193.5</v>
      </c>
      <c r="O102" s="7" t="n">
        <f aca="false">IF(I102&gt;0,A102,"")</f>
        <v>97</v>
      </c>
      <c r="P102" s="7" t="n">
        <f aca="false">IF(L102&gt;=0,A102,"")</f>
        <v>97</v>
      </c>
      <c r="Q102" s="7" t="n">
        <f aca="false">IF(K102&gt;=가정!$B$32,A102,"")</f>
        <v>97</v>
      </c>
      <c r="R102" s="7" t="str">
        <f aca="false">IF(MAX(0,I102)*(1-가정!$B$6)*'1억 상환'!$B$6&gt;='1억 상환'!$B$5,A102,"")</f>
        <v/>
      </c>
    </row>
    <row r="103" customFormat="false" ht="15" hidden="false" customHeight="false" outlineLevel="0" collapsed="false">
      <c r="A103" s="7" t="n">
        <v>98</v>
      </c>
      <c r="B103" s="7" t="n">
        <f aca="false">A103*가정!$B$10</f>
        <v>28420000</v>
      </c>
      <c r="C103" s="7" t="n">
        <f aca="false">가정!$B$34</f>
        <v>3590000</v>
      </c>
      <c r="D103" s="7" t="n">
        <f aca="false">ROUNDUP(MAX(0,A103-가정!$B$18)/가정!$B$19,0)</f>
        <v>2</v>
      </c>
      <c r="E103" s="7" t="n">
        <f aca="false">D103*가정!$B$20+ROUNDUP(A103/가정!$B$22,0)*가정!$B$21+ROUNDUP(A103/가정!$B$24,0)*가정!$B$23</f>
        <v>12400000</v>
      </c>
      <c r="F103" s="7" t="n">
        <f aca="false">A103*가정!$B$26+B103*가정!$B$27</f>
        <v>98000</v>
      </c>
      <c r="G103" s="7" t="n">
        <f aca="false">B103*가정!$B$28</f>
        <v>0</v>
      </c>
      <c r="H103" s="7" t="n">
        <f aca="false">B103-C103-E103-F103-G103</f>
        <v>12332000</v>
      </c>
      <c r="I103" s="7" t="n">
        <f aca="false">H103-IF(가정!$B$7=1,가정!$B$5,0)</f>
        <v>8332000</v>
      </c>
      <c r="J103" s="7" t="n">
        <f aca="false">MAX(0,I103)*가정!$B$6</f>
        <v>7498800</v>
      </c>
      <c r="K103" s="7" t="n">
        <f aca="false">가정!$B$5+J103</f>
        <v>11498800</v>
      </c>
      <c r="L103" s="7" t="n">
        <f aca="false">H103-K103</f>
        <v>833200</v>
      </c>
      <c r="M103" s="8" t="n">
        <f aca="false">IF(B103=0,0,K103/B103)</f>
        <v>0.40460239268121</v>
      </c>
      <c r="N103" s="7" t="n">
        <f aca="false">K103/가정!$B$8</f>
        <v>57494</v>
      </c>
      <c r="O103" s="7" t="n">
        <f aca="false">IF(I103&gt;0,A103,"")</f>
        <v>98</v>
      </c>
      <c r="P103" s="7" t="n">
        <f aca="false">IF(L103&gt;=0,A103,"")</f>
        <v>98</v>
      </c>
      <c r="Q103" s="7" t="n">
        <f aca="false">IF(K103&gt;=가정!$B$32,A103,"")</f>
        <v>98</v>
      </c>
      <c r="R103" s="7" t="str">
        <f aca="false">IF(MAX(0,I103)*(1-가정!$B$6)*'1억 상환'!$B$6&gt;='1억 상환'!$B$5,A103,"")</f>
        <v/>
      </c>
    </row>
    <row r="104" customFormat="false" ht="15" hidden="false" customHeight="false" outlineLevel="0" collapsed="false">
      <c r="A104" s="7" t="n">
        <v>99</v>
      </c>
      <c r="B104" s="7" t="n">
        <f aca="false">A104*가정!$B$10</f>
        <v>28710000</v>
      </c>
      <c r="C104" s="7" t="n">
        <f aca="false">가정!$B$34</f>
        <v>3590000</v>
      </c>
      <c r="D104" s="7" t="n">
        <f aca="false">ROUNDUP(MAX(0,A104-가정!$B$18)/가정!$B$19,0)</f>
        <v>2</v>
      </c>
      <c r="E104" s="7" t="n">
        <f aca="false">D104*가정!$B$20+ROUNDUP(A104/가정!$B$22,0)*가정!$B$21+ROUNDUP(A104/가정!$B$24,0)*가정!$B$23</f>
        <v>12400000</v>
      </c>
      <c r="F104" s="7" t="n">
        <f aca="false">A104*가정!$B$26+B104*가정!$B$27</f>
        <v>99000</v>
      </c>
      <c r="G104" s="7" t="n">
        <f aca="false">B104*가정!$B$28</f>
        <v>0</v>
      </c>
      <c r="H104" s="7" t="n">
        <f aca="false">B104-C104-E104-F104-G104</f>
        <v>12621000</v>
      </c>
      <c r="I104" s="7" t="n">
        <f aca="false">H104-IF(가정!$B$7=1,가정!$B$5,0)</f>
        <v>8621000</v>
      </c>
      <c r="J104" s="7" t="n">
        <f aca="false">MAX(0,I104)*가정!$B$6</f>
        <v>7758900</v>
      </c>
      <c r="K104" s="7" t="n">
        <f aca="false">가정!$B$5+J104</f>
        <v>11758900</v>
      </c>
      <c r="L104" s="7" t="n">
        <f aca="false">H104-K104</f>
        <v>862100</v>
      </c>
      <c r="M104" s="8" t="n">
        <f aca="false">IF(B104=0,0,K104/B104)</f>
        <v>0.409575060954371</v>
      </c>
      <c r="N104" s="7" t="n">
        <f aca="false">K104/가정!$B$8</f>
        <v>58794.5</v>
      </c>
      <c r="O104" s="7" t="n">
        <f aca="false">IF(I104&gt;0,A104,"")</f>
        <v>99</v>
      </c>
      <c r="P104" s="7" t="n">
        <f aca="false">IF(L104&gt;=0,A104,"")</f>
        <v>99</v>
      </c>
      <c r="Q104" s="7" t="n">
        <f aca="false">IF(K104&gt;=가정!$B$32,A104,"")</f>
        <v>99</v>
      </c>
      <c r="R104" s="7" t="str">
        <f aca="false">IF(MAX(0,I104)*(1-가정!$B$6)*'1억 상환'!$B$6&gt;='1억 상환'!$B$5,A104,"")</f>
        <v/>
      </c>
    </row>
    <row r="105" customFormat="false" ht="15" hidden="false" customHeight="false" outlineLevel="0" collapsed="false">
      <c r="A105" s="7" t="n">
        <v>100</v>
      </c>
      <c r="B105" s="7" t="n">
        <f aca="false">A105*가정!$B$10</f>
        <v>29000000</v>
      </c>
      <c r="C105" s="7" t="n">
        <f aca="false">가정!$B$34</f>
        <v>3590000</v>
      </c>
      <c r="D105" s="7" t="n">
        <f aca="false">ROUNDUP(MAX(0,A105-가정!$B$18)/가정!$B$19,0)</f>
        <v>2</v>
      </c>
      <c r="E105" s="7" t="n">
        <f aca="false">D105*가정!$B$20+ROUNDUP(A105/가정!$B$22,0)*가정!$B$21+ROUNDUP(A105/가정!$B$24,0)*가정!$B$23</f>
        <v>12400000</v>
      </c>
      <c r="F105" s="7" t="n">
        <f aca="false">A105*가정!$B$26+B105*가정!$B$27</f>
        <v>100000</v>
      </c>
      <c r="G105" s="7" t="n">
        <f aca="false">B105*가정!$B$28</f>
        <v>0</v>
      </c>
      <c r="H105" s="7" t="n">
        <f aca="false">B105-C105-E105-F105-G105</f>
        <v>12910000</v>
      </c>
      <c r="I105" s="7" t="n">
        <f aca="false">H105-IF(가정!$B$7=1,가정!$B$5,0)</f>
        <v>8910000</v>
      </c>
      <c r="J105" s="7" t="n">
        <f aca="false">MAX(0,I105)*가정!$B$6</f>
        <v>8019000</v>
      </c>
      <c r="K105" s="7" t="n">
        <f aca="false">가정!$B$5+J105</f>
        <v>12019000</v>
      </c>
      <c r="L105" s="7" t="n">
        <f aca="false">H105-K105</f>
        <v>891000</v>
      </c>
      <c r="M105" s="8" t="n">
        <f aca="false">IF(B105=0,0,K105/B105)</f>
        <v>0.414448275862069</v>
      </c>
      <c r="N105" s="7" t="n">
        <f aca="false">K105/가정!$B$8</f>
        <v>60095</v>
      </c>
      <c r="O105" s="7" t="n">
        <f aca="false">IF(I105&gt;0,A105,"")</f>
        <v>100</v>
      </c>
      <c r="P105" s="7" t="n">
        <f aca="false">IF(L105&gt;=0,A105,"")</f>
        <v>100</v>
      </c>
      <c r="Q105" s="7" t="n">
        <f aca="false">IF(K105&gt;=가정!$B$32,A105,"")</f>
        <v>100</v>
      </c>
      <c r="R105" s="7" t="str">
        <f aca="false">IF(MAX(0,I105)*(1-가정!$B$6)*'1억 상환'!$B$6&gt;='1억 상환'!$B$5,A105,"")</f>
        <v/>
      </c>
    </row>
    <row r="106" customFormat="false" ht="15" hidden="false" customHeight="false" outlineLevel="0" collapsed="false">
      <c r="A106" s="7" t="n">
        <v>101</v>
      </c>
      <c r="B106" s="7" t="n">
        <f aca="false">A106*가정!$B$10</f>
        <v>29290000</v>
      </c>
      <c r="C106" s="7" t="n">
        <f aca="false">가정!$B$34</f>
        <v>3590000</v>
      </c>
      <c r="D106" s="7" t="n">
        <f aca="false">ROUNDUP(MAX(0,A106-가정!$B$18)/가정!$B$19,0)</f>
        <v>2</v>
      </c>
      <c r="E106" s="7" t="n">
        <f aca="false">D106*가정!$B$20+ROUNDUP(A106/가정!$B$22,0)*가정!$B$21+ROUNDUP(A106/가정!$B$24,0)*가정!$B$23</f>
        <v>12800000</v>
      </c>
      <c r="F106" s="7" t="n">
        <f aca="false">A106*가정!$B$26+B106*가정!$B$27</f>
        <v>101000</v>
      </c>
      <c r="G106" s="7" t="n">
        <f aca="false">B106*가정!$B$28</f>
        <v>0</v>
      </c>
      <c r="H106" s="7" t="n">
        <f aca="false">B106-C106-E106-F106-G106</f>
        <v>12799000</v>
      </c>
      <c r="I106" s="7" t="n">
        <f aca="false">H106-IF(가정!$B$7=1,가정!$B$5,0)</f>
        <v>8799000</v>
      </c>
      <c r="J106" s="7" t="n">
        <f aca="false">MAX(0,I106)*가정!$B$6</f>
        <v>7919100</v>
      </c>
      <c r="K106" s="7" t="n">
        <f aca="false">가정!$B$5+J106</f>
        <v>11919100</v>
      </c>
      <c r="L106" s="7" t="n">
        <f aca="false">H106-K106</f>
        <v>879900</v>
      </c>
      <c r="M106" s="8" t="n">
        <f aca="false">IF(B106=0,0,K106/B106)</f>
        <v>0.406934107203824</v>
      </c>
      <c r="N106" s="7" t="n">
        <f aca="false">K106/가정!$B$8</f>
        <v>59595.5</v>
      </c>
      <c r="O106" s="7" t="n">
        <f aca="false">IF(I106&gt;0,A106,"")</f>
        <v>101</v>
      </c>
      <c r="P106" s="7" t="n">
        <f aca="false">IF(L106&gt;=0,A106,"")</f>
        <v>101</v>
      </c>
      <c r="Q106" s="7" t="n">
        <f aca="false">IF(K106&gt;=가정!$B$32,A106,"")</f>
        <v>101</v>
      </c>
      <c r="R106" s="7" t="str">
        <f aca="false">IF(MAX(0,I106)*(1-가정!$B$6)*'1억 상환'!$B$6&gt;='1억 상환'!$B$5,A106,"")</f>
        <v/>
      </c>
    </row>
    <row r="107" customFormat="false" ht="15" hidden="false" customHeight="false" outlineLevel="0" collapsed="false">
      <c r="A107" s="7" t="n">
        <v>102</v>
      </c>
      <c r="B107" s="7" t="n">
        <f aca="false">A107*가정!$B$10</f>
        <v>29580000</v>
      </c>
      <c r="C107" s="7" t="n">
        <f aca="false">가정!$B$34</f>
        <v>3590000</v>
      </c>
      <c r="D107" s="7" t="n">
        <f aca="false">ROUNDUP(MAX(0,A107-가정!$B$18)/가정!$B$19,0)</f>
        <v>2</v>
      </c>
      <c r="E107" s="7" t="n">
        <f aca="false">D107*가정!$B$20+ROUNDUP(A107/가정!$B$22,0)*가정!$B$21+ROUNDUP(A107/가정!$B$24,0)*가정!$B$23</f>
        <v>12800000</v>
      </c>
      <c r="F107" s="7" t="n">
        <f aca="false">A107*가정!$B$26+B107*가정!$B$27</f>
        <v>102000</v>
      </c>
      <c r="G107" s="7" t="n">
        <f aca="false">B107*가정!$B$28</f>
        <v>0</v>
      </c>
      <c r="H107" s="7" t="n">
        <f aca="false">B107-C107-E107-F107-G107</f>
        <v>13088000</v>
      </c>
      <c r="I107" s="7" t="n">
        <f aca="false">H107-IF(가정!$B$7=1,가정!$B$5,0)</f>
        <v>9088000</v>
      </c>
      <c r="J107" s="7" t="n">
        <f aca="false">MAX(0,I107)*가정!$B$6</f>
        <v>8179200</v>
      </c>
      <c r="K107" s="7" t="n">
        <f aca="false">가정!$B$5+J107</f>
        <v>12179200</v>
      </c>
      <c r="L107" s="7" t="n">
        <f aca="false">H107-K107</f>
        <v>908800</v>
      </c>
      <c r="M107" s="8" t="n">
        <f aca="false">IF(B107=0,0,K107/B107)</f>
        <v>0.411737660581474</v>
      </c>
      <c r="N107" s="7" t="n">
        <f aca="false">K107/가정!$B$8</f>
        <v>60896</v>
      </c>
      <c r="O107" s="7" t="n">
        <f aca="false">IF(I107&gt;0,A107,"")</f>
        <v>102</v>
      </c>
      <c r="P107" s="7" t="n">
        <f aca="false">IF(L107&gt;=0,A107,"")</f>
        <v>102</v>
      </c>
      <c r="Q107" s="7" t="n">
        <f aca="false">IF(K107&gt;=가정!$B$32,A107,"")</f>
        <v>102</v>
      </c>
      <c r="R107" s="7" t="str">
        <f aca="false">IF(MAX(0,I107)*(1-가정!$B$6)*'1억 상환'!$B$6&gt;='1억 상환'!$B$5,A107,"")</f>
        <v/>
      </c>
    </row>
    <row r="108" customFormat="false" ht="15" hidden="false" customHeight="false" outlineLevel="0" collapsed="false">
      <c r="A108" s="7" t="n">
        <v>103</v>
      </c>
      <c r="B108" s="7" t="n">
        <f aca="false">A108*가정!$B$10</f>
        <v>29870000</v>
      </c>
      <c r="C108" s="7" t="n">
        <f aca="false">가정!$B$34</f>
        <v>3590000</v>
      </c>
      <c r="D108" s="7" t="n">
        <f aca="false">ROUNDUP(MAX(0,A108-가정!$B$18)/가정!$B$19,0)</f>
        <v>2</v>
      </c>
      <c r="E108" s="7" t="n">
        <f aca="false">D108*가정!$B$20+ROUNDUP(A108/가정!$B$22,0)*가정!$B$21+ROUNDUP(A108/가정!$B$24,0)*가정!$B$23</f>
        <v>12800000</v>
      </c>
      <c r="F108" s="7" t="n">
        <f aca="false">A108*가정!$B$26+B108*가정!$B$27</f>
        <v>103000</v>
      </c>
      <c r="G108" s="7" t="n">
        <f aca="false">B108*가정!$B$28</f>
        <v>0</v>
      </c>
      <c r="H108" s="7" t="n">
        <f aca="false">B108-C108-E108-F108-G108</f>
        <v>13377000</v>
      </c>
      <c r="I108" s="7" t="n">
        <f aca="false">H108-IF(가정!$B$7=1,가정!$B$5,0)</f>
        <v>9377000</v>
      </c>
      <c r="J108" s="7" t="n">
        <f aca="false">MAX(0,I108)*가정!$B$6</f>
        <v>8439300</v>
      </c>
      <c r="K108" s="7" t="n">
        <f aca="false">가정!$B$5+J108</f>
        <v>12439300</v>
      </c>
      <c r="L108" s="7" t="n">
        <f aca="false">H108-K108</f>
        <v>937700</v>
      </c>
      <c r="M108" s="8" t="n">
        <f aca="false">IF(B108=0,0,K108/B108)</f>
        <v>0.416447941078005</v>
      </c>
      <c r="N108" s="7" t="n">
        <f aca="false">K108/가정!$B$8</f>
        <v>62196.5</v>
      </c>
      <c r="O108" s="7" t="n">
        <f aca="false">IF(I108&gt;0,A108,"")</f>
        <v>103</v>
      </c>
      <c r="P108" s="7" t="n">
        <f aca="false">IF(L108&gt;=0,A108,"")</f>
        <v>103</v>
      </c>
      <c r="Q108" s="7" t="n">
        <f aca="false">IF(K108&gt;=가정!$B$32,A108,"")</f>
        <v>103</v>
      </c>
      <c r="R108" s="7" t="str">
        <f aca="false">IF(MAX(0,I108)*(1-가정!$B$6)*'1억 상환'!$B$6&gt;='1억 상환'!$B$5,A108,"")</f>
        <v/>
      </c>
    </row>
    <row r="109" customFormat="false" ht="15" hidden="false" customHeight="false" outlineLevel="0" collapsed="false">
      <c r="A109" s="7" t="n">
        <v>104</v>
      </c>
      <c r="B109" s="7" t="n">
        <f aca="false">A109*가정!$B$10</f>
        <v>30160000</v>
      </c>
      <c r="C109" s="7" t="n">
        <f aca="false">가정!$B$34</f>
        <v>3590000</v>
      </c>
      <c r="D109" s="7" t="n">
        <f aca="false">ROUNDUP(MAX(0,A109-가정!$B$18)/가정!$B$19,0)</f>
        <v>2</v>
      </c>
      <c r="E109" s="7" t="n">
        <f aca="false">D109*가정!$B$20+ROUNDUP(A109/가정!$B$22,0)*가정!$B$21+ROUNDUP(A109/가정!$B$24,0)*가정!$B$23</f>
        <v>12800000</v>
      </c>
      <c r="F109" s="7" t="n">
        <f aca="false">A109*가정!$B$26+B109*가정!$B$27</f>
        <v>104000</v>
      </c>
      <c r="G109" s="7" t="n">
        <f aca="false">B109*가정!$B$28</f>
        <v>0</v>
      </c>
      <c r="H109" s="7" t="n">
        <f aca="false">B109-C109-E109-F109-G109</f>
        <v>13666000</v>
      </c>
      <c r="I109" s="7" t="n">
        <f aca="false">H109-IF(가정!$B$7=1,가정!$B$5,0)</f>
        <v>9666000</v>
      </c>
      <c r="J109" s="7" t="n">
        <f aca="false">MAX(0,I109)*가정!$B$6</f>
        <v>8699400</v>
      </c>
      <c r="K109" s="7" t="n">
        <f aca="false">가정!$B$5+J109</f>
        <v>12699400</v>
      </c>
      <c r="L109" s="7" t="n">
        <f aca="false">H109-K109</f>
        <v>966600</v>
      </c>
      <c r="M109" s="8" t="n">
        <f aca="false">IF(B109=0,0,K109/B109)</f>
        <v>0.421067639257294</v>
      </c>
      <c r="N109" s="7" t="n">
        <f aca="false">K109/가정!$B$8</f>
        <v>63497</v>
      </c>
      <c r="O109" s="7" t="n">
        <f aca="false">IF(I109&gt;0,A109,"")</f>
        <v>104</v>
      </c>
      <c r="P109" s="7" t="n">
        <f aca="false">IF(L109&gt;=0,A109,"")</f>
        <v>104</v>
      </c>
      <c r="Q109" s="7" t="n">
        <f aca="false">IF(K109&gt;=가정!$B$32,A109,"")</f>
        <v>104</v>
      </c>
      <c r="R109" s="7" t="str">
        <f aca="false">IF(MAX(0,I109)*(1-가정!$B$6)*'1억 상환'!$B$6&gt;='1억 상환'!$B$5,A109,"")</f>
        <v/>
      </c>
    </row>
    <row r="110" customFormat="false" ht="15" hidden="false" customHeight="false" outlineLevel="0" collapsed="false">
      <c r="A110" s="7" t="n">
        <v>105</v>
      </c>
      <c r="B110" s="7" t="n">
        <f aca="false">A110*가정!$B$10</f>
        <v>30450000</v>
      </c>
      <c r="C110" s="7" t="n">
        <f aca="false">가정!$B$34</f>
        <v>3590000</v>
      </c>
      <c r="D110" s="7" t="n">
        <f aca="false">ROUNDUP(MAX(0,A110-가정!$B$18)/가정!$B$19,0)</f>
        <v>2</v>
      </c>
      <c r="E110" s="7" t="n">
        <f aca="false">D110*가정!$B$20+ROUNDUP(A110/가정!$B$22,0)*가정!$B$21+ROUNDUP(A110/가정!$B$24,0)*가정!$B$23</f>
        <v>12800000</v>
      </c>
      <c r="F110" s="7" t="n">
        <f aca="false">A110*가정!$B$26+B110*가정!$B$27</f>
        <v>105000</v>
      </c>
      <c r="G110" s="7" t="n">
        <f aca="false">B110*가정!$B$28</f>
        <v>0</v>
      </c>
      <c r="H110" s="7" t="n">
        <f aca="false">B110-C110-E110-F110-G110</f>
        <v>13955000</v>
      </c>
      <c r="I110" s="7" t="n">
        <f aca="false">H110-IF(가정!$B$7=1,가정!$B$5,0)</f>
        <v>9955000</v>
      </c>
      <c r="J110" s="7" t="n">
        <f aca="false">MAX(0,I110)*가정!$B$6</f>
        <v>8959500</v>
      </c>
      <c r="K110" s="7" t="n">
        <f aca="false">가정!$B$5+J110</f>
        <v>12959500</v>
      </c>
      <c r="L110" s="7" t="n">
        <f aca="false">H110-K110</f>
        <v>995500</v>
      </c>
      <c r="M110" s="8" t="n">
        <f aca="false">IF(B110=0,0,K110/B110)</f>
        <v>0.42559934318555</v>
      </c>
      <c r="N110" s="7" t="n">
        <f aca="false">K110/가정!$B$8</f>
        <v>64797.5</v>
      </c>
      <c r="O110" s="7" t="n">
        <f aca="false">IF(I110&gt;0,A110,"")</f>
        <v>105</v>
      </c>
      <c r="P110" s="7" t="n">
        <f aca="false">IF(L110&gt;=0,A110,"")</f>
        <v>105</v>
      </c>
      <c r="Q110" s="7" t="n">
        <f aca="false">IF(K110&gt;=가정!$B$32,A110,"")</f>
        <v>105</v>
      </c>
      <c r="R110" s="7" t="str">
        <f aca="false">IF(MAX(0,I110)*(1-가정!$B$6)*'1억 상환'!$B$6&gt;='1억 상환'!$B$5,A110,"")</f>
        <v/>
      </c>
    </row>
    <row r="111" customFormat="false" ht="15" hidden="false" customHeight="false" outlineLevel="0" collapsed="false">
      <c r="A111" s="7" t="n">
        <v>106</v>
      </c>
      <c r="B111" s="7" t="n">
        <f aca="false">A111*가정!$B$10</f>
        <v>30740000</v>
      </c>
      <c r="C111" s="7" t="n">
        <f aca="false">가정!$B$34</f>
        <v>3590000</v>
      </c>
      <c r="D111" s="7" t="n">
        <f aca="false">ROUNDUP(MAX(0,A111-가정!$B$18)/가정!$B$19,0)</f>
        <v>2</v>
      </c>
      <c r="E111" s="7" t="n">
        <f aca="false">D111*가정!$B$20+ROUNDUP(A111/가정!$B$22,0)*가정!$B$21+ROUNDUP(A111/가정!$B$24,0)*가정!$B$23</f>
        <v>12800000</v>
      </c>
      <c r="F111" s="7" t="n">
        <f aca="false">A111*가정!$B$26+B111*가정!$B$27</f>
        <v>106000</v>
      </c>
      <c r="G111" s="7" t="n">
        <f aca="false">B111*가정!$B$28</f>
        <v>0</v>
      </c>
      <c r="H111" s="7" t="n">
        <f aca="false">B111-C111-E111-F111-G111</f>
        <v>14244000</v>
      </c>
      <c r="I111" s="7" t="n">
        <f aca="false">H111-IF(가정!$B$7=1,가정!$B$5,0)</f>
        <v>10244000</v>
      </c>
      <c r="J111" s="7" t="n">
        <f aca="false">MAX(0,I111)*가정!$B$6</f>
        <v>9219600</v>
      </c>
      <c r="K111" s="7" t="n">
        <f aca="false">가정!$B$5+J111</f>
        <v>13219600</v>
      </c>
      <c r="L111" s="7" t="n">
        <f aca="false">H111-K111</f>
        <v>1024400</v>
      </c>
      <c r="M111" s="8" t="n">
        <f aca="false">IF(B111=0,0,K111/B111)</f>
        <v>0.430045543266103</v>
      </c>
      <c r="N111" s="7" t="n">
        <f aca="false">K111/가정!$B$8</f>
        <v>66098</v>
      </c>
      <c r="O111" s="7" t="n">
        <f aca="false">IF(I111&gt;0,A111,"")</f>
        <v>106</v>
      </c>
      <c r="P111" s="7" t="n">
        <f aca="false">IF(L111&gt;=0,A111,"")</f>
        <v>106</v>
      </c>
      <c r="Q111" s="7" t="n">
        <f aca="false">IF(K111&gt;=가정!$B$32,A111,"")</f>
        <v>106</v>
      </c>
      <c r="R111" s="7" t="str">
        <f aca="false">IF(MAX(0,I111)*(1-가정!$B$6)*'1억 상환'!$B$6&gt;='1억 상환'!$B$5,A111,"")</f>
        <v/>
      </c>
    </row>
    <row r="112" customFormat="false" ht="15" hidden="false" customHeight="false" outlineLevel="0" collapsed="false">
      <c r="A112" s="7" t="n">
        <v>107</v>
      </c>
      <c r="B112" s="7" t="n">
        <f aca="false">A112*가정!$B$10</f>
        <v>31030000</v>
      </c>
      <c r="C112" s="7" t="n">
        <f aca="false">가정!$B$34</f>
        <v>3590000</v>
      </c>
      <c r="D112" s="7" t="n">
        <f aca="false">ROUNDUP(MAX(0,A112-가정!$B$18)/가정!$B$19,0)</f>
        <v>2</v>
      </c>
      <c r="E112" s="7" t="n">
        <f aca="false">D112*가정!$B$20+ROUNDUP(A112/가정!$B$22,0)*가정!$B$21+ROUNDUP(A112/가정!$B$24,0)*가정!$B$23</f>
        <v>12800000</v>
      </c>
      <c r="F112" s="7" t="n">
        <f aca="false">A112*가정!$B$26+B112*가정!$B$27</f>
        <v>107000</v>
      </c>
      <c r="G112" s="7" t="n">
        <f aca="false">B112*가정!$B$28</f>
        <v>0</v>
      </c>
      <c r="H112" s="7" t="n">
        <f aca="false">B112-C112-E112-F112-G112</f>
        <v>14533000</v>
      </c>
      <c r="I112" s="7" t="n">
        <f aca="false">H112-IF(가정!$B$7=1,가정!$B$5,0)</f>
        <v>10533000</v>
      </c>
      <c r="J112" s="7" t="n">
        <f aca="false">MAX(0,I112)*가정!$B$6</f>
        <v>9479700</v>
      </c>
      <c r="K112" s="7" t="n">
        <f aca="false">가정!$B$5+J112</f>
        <v>13479700</v>
      </c>
      <c r="L112" s="7" t="n">
        <f aca="false">H112-K112</f>
        <v>1053300</v>
      </c>
      <c r="M112" s="8" t="n">
        <f aca="false">IF(B112=0,0,K112/B112)</f>
        <v>0.434408636803094</v>
      </c>
      <c r="N112" s="7" t="n">
        <f aca="false">K112/가정!$B$8</f>
        <v>67398.5</v>
      </c>
      <c r="O112" s="7" t="n">
        <f aca="false">IF(I112&gt;0,A112,"")</f>
        <v>107</v>
      </c>
      <c r="P112" s="7" t="n">
        <f aca="false">IF(L112&gt;=0,A112,"")</f>
        <v>107</v>
      </c>
      <c r="Q112" s="7" t="n">
        <f aca="false">IF(K112&gt;=가정!$B$32,A112,"")</f>
        <v>107</v>
      </c>
      <c r="R112" s="7" t="str">
        <f aca="false">IF(MAX(0,I112)*(1-가정!$B$6)*'1억 상환'!$B$6&gt;='1억 상환'!$B$5,A112,"")</f>
        <v/>
      </c>
    </row>
    <row r="113" customFormat="false" ht="15" hidden="false" customHeight="false" outlineLevel="0" collapsed="false">
      <c r="A113" s="7" t="n">
        <v>108</v>
      </c>
      <c r="B113" s="7" t="n">
        <f aca="false">A113*가정!$B$10</f>
        <v>31320000</v>
      </c>
      <c r="C113" s="7" t="n">
        <f aca="false">가정!$B$34</f>
        <v>3590000</v>
      </c>
      <c r="D113" s="7" t="n">
        <f aca="false">ROUNDUP(MAX(0,A113-가정!$B$18)/가정!$B$19,0)</f>
        <v>2</v>
      </c>
      <c r="E113" s="7" t="n">
        <f aca="false">D113*가정!$B$20+ROUNDUP(A113/가정!$B$22,0)*가정!$B$21+ROUNDUP(A113/가정!$B$24,0)*가정!$B$23</f>
        <v>12800000</v>
      </c>
      <c r="F113" s="7" t="n">
        <f aca="false">A113*가정!$B$26+B113*가정!$B$27</f>
        <v>108000</v>
      </c>
      <c r="G113" s="7" t="n">
        <f aca="false">B113*가정!$B$28</f>
        <v>0</v>
      </c>
      <c r="H113" s="7" t="n">
        <f aca="false">B113-C113-E113-F113-G113</f>
        <v>14822000</v>
      </c>
      <c r="I113" s="7" t="n">
        <f aca="false">H113-IF(가정!$B$7=1,가정!$B$5,0)</f>
        <v>10822000</v>
      </c>
      <c r="J113" s="7" t="n">
        <f aca="false">MAX(0,I113)*가정!$B$6</f>
        <v>9739800</v>
      </c>
      <c r="K113" s="7" t="n">
        <f aca="false">가정!$B$5+J113</f>
        <v>13739800</v>
      </c>
      <c r="L113" s="7" t="n">
        <f aca="false">H113-K113</f>
        <v>1082200</v>
      </c>
      <c r="M113" s="8" t="n">
        <f aca="false">IF(B113=0,0,K113/B113)</f>
        <v>0.438690932311622</v>
      </c>
      <c r="N113" s="7" t="n">
        <f aca="false">K113/가정!$B$8</f>
        <v>68699</v>
      </c>
      <c r="O113" s="7" t="n">
        <f aca="false">IF(I113&gt;0,A113,"")</f>
        <v>108</v>
      </c>
      <c r="P113" s="7" t="n">
        <f aca="false">IF(L113&gt;=0,A113,"")</f>
        <v>108</v>
      </c>
      <c r="Q113" s="7" t="n">
        <f aca="false">IF(K113&gt;=가정!$B$32,A113,"")</f>
        <v>108</v>
      </c>
      <c r="R113" s="7" t="str">
        <f aca="false">IF(MAX(0,I113)*(1-가정!$B$6)*'1억 상환'!$B$6&gt;='1억 상환'!$B$5,A113,"")</f>
        <v/>
      </c>
    </row>
    <row r="114" customFormat="false" ht="15" hidden="false" customHeight="false" outlineLevel="0" collapsed="false">
      <c r="A114" s="7" t="n">
        <v>109</v>
      </c>
      <c r="B114" s="7" t="n">
        <f aca="false">A114*가정!$B$10</f>
        <v>31610000</v>
      </c>
      <c r="C114" s="7" t="n">
        <f aca="false">가정!$B$34</f>
        <v>3590000</v>
      </c>
      <c r="D114" s="7" t="n">
        <f aca="false">ROUNDUP(MAX(0,A114-가정!$B$18)/가정!$B$19,0)</f>
        <v>2</v>
      </c>
      <c r="E114" s="7" t="n">
        <f aca="false">D114*가정!$B$20+ROUNDUP(A114/가정!$B$22,0)*가정!$B$21+ROUNDUP(A114/가정!$B$24,0)*가정!$B$23</f>
        <v>12800000</v>
      </c>
      <c r="F114" s="7" t="n">
        <f aca="false">A114*가정!$B$26+B114*가정!$B$27</f>
        <v>109000</v>
      </c>
      <c r="G114" s="7" t="n">
        <f aca="false">B114*가정!$B$28</f>
        <v>0</v>
      </c>
      <c r="H114" s="7" t="n">
        <f aca="false">B114-C114-E114-F114-G114</f>
        <v>15111000</v>
      </c>
      <c r="I114" s="7" t="n">
        <f aca="false">H114-IF(가정!$B$7=1,가정!$B$5,0)</f>
        <v>11111000</v>
      </c>
      <c r="J114" s="7" t="n">
        <f aca="false">MAX(0,I114)*가정!$B$6</f>
        <v>9999900</v>
      </c>
      <c r="K114" s="7" t="n">
        <f aca="false">가정!$B$5+J114</f>
        <v>13999900</v>
      </c>
      <c r="L114" s="7" t="n">
        <f aca="false">H114-K114</f>
        <v>1111100</v>
      </c>
      <c r="M114" s="8" t="n">
        <f aca="false">IF(B114=0,0,K114/B114)</f>
        <v>0.442894653590636</v>
      </c>
      <c r="N114" s="7" t="n">
        <f aca="false">K114/가정!$B$8</f>
        <v>69999.5</v>
      </c>
      <c r="O114" s="7" t="n">
        <f aca="false">IF(I114&gt;0,A114,"")</f>
        <v>109</v>
      </c>
      <c r="P114" s="7" t="n">
        <f aca="false">IF(L114&gt;=0,A114,"")</f>
        <v>109</v>
      </c>
      <c r="Q114" s="7" t="n">
        <f aca="false">IF(K114&gt;=가정!$B$32,A114,"")</f>
        <v>109</v>
      </c>
      <c r="R114" s="7" t="str">
        <f aca="false">IF(MAX(0,I114)*(1-가정!$B$6)*'1억 상환'!$B$6&gt;='1억 상환'!$B$5,A114,"")</f>
        <v/>
      </c>
    </row>
    <row r="115" customFormat="false" ht="15" hidden="false" customHeight="false" outlineLevel="0" collapsed="false">
      <c r="A115" s="7" t="n">
        <v>110</v>
      </c>
      <c r="B115" s="7" t="n">
        <f aca="false">A115*가정!$B$10</f>
        <v>31900000</v>
      </c>
      <c r="C115" s="7" t="n">
        <f aca="false">가정!$B$34</f>
        <v>3590000</v>
      </c>
      <c r="D115" s="7" t="n">
        <f aca="false">ROUNDUP(MAX(0,A115-가정!$B$18)/가정!$B$19,0)</f>
        <v>2</v>
      </c>
      <c r="E115" s="7" t="n">
        <f aca="false">D115*가정!$B$20+ROUNDUP(A115/가정!$B$22,0)*가정!$B$21+ROUNDUP(A115/가정!$B$24,0)*가정!$B$23</f>
        <v>12800000</v>
      </c>
      <c r="F115" s="7" t="n">
        <f aca="false">A115*가정!$B$26+B115*가정!$B$27</f>
        <v>110000</v>
      </c>
      <c r="G115" s="7" t="n">
        <f aca="false">B115*가정!$B$28</f>
        <v>0</v>
      </c>
      <c r="H115" s="7" t="n">
        <f aca="false">B115-C115-E115-F115-G115</f>
        <v>15400000</v>
      </c>
      <c r="I115" s="7" t="n">
        <f aca="false">H115-IF(가정!$B$7=1,가정!$B$5,0)</f>
        <v>11400000</v>
      </c>
      <c r="J115" s="7" t="n">
        <f aca="false">MAX(0,I115)*가정!$B$6</f>
        <v>10260000</v>
      </c>
      <c r="K115" s="7" t="n">
        <f aca="false">가정!$B$5+J115</f>
        <v>14260000</v>
      </c>
      <c r="L115" s="7" t="n">
        <f aca="false">H115-K115</f>
        <v>1140000</v>
      </c>
      <c r="M115" s="8" t="n">
        <f aca="false">IF(B115=0,0,K115/B115)</f>
        <v>0.447021943573668</v>
      </c>
      <c r="N115" s="7" t="n">
        <f aca="false">K115/가정!$B$8</f>
        <v>71300</v>
      </c>
      <c r="O115" s="7" t="n">
        <f aca="false">IF(I115&gt;0,A115,"")</f>
        <v>110</v>
      </c>
      <c r="P115" s="7" t="n">
        <f aca="false">IF(L115&gt;=0,A115,"")</f>
        <v>110</v>
      </c>
      <c r="Q115" s="7" t="n">
        <f aca="false">IF(K115&gt;=가정!$B$32,A115,"")</f>
        <v>110</v>
      </c>
      <c r="R115" s="7" t="str">
        <f aca="false">IF(MAX(0,I115)*(1-가정!$B$6)*'1억 상환'!$B$6&gt;='1억 상환'!$B$5,A115,"")</f>
        <v/>
      </c>
    </row>
    <row r="116" customFormat="false" ht="15" hidden="false" customHeight="false" outlineLevel="0" collapsed="false">
      <c r="A116" s="7" t="n">
        <v>111</v>
      </c>
      <c r="B116" s="7" t="n">
        <f aca="false">A116*가정!$B$10</f>
        <v>32190000</v>
      </c>
      <c r="C116" s="7" t="n">
        <f aca="false">가정!$B$34</f>
        <v>3590000</v>
      </c>
      <c r="D116" s="7" t="n">
        <f aca="false">ROUNDUP(MAX(0,A116-가정!$B$18)/가정!$B$19,0)</f>
        <v>2</v>
      </c>
      <c r="E116" s="7" t="n">
        <f aca="false">D116*가정!$B$20+ROUNDUP(A116/가정!$B$22,0)*가정!$B$21+ROUNDUP(A116/가정!$B$24,0)*가정!$B$23</f>
        <v>12800000</v>
      </c>
      <c r="F116" s="7" t="n">
        <f aca="false">A116*가정!$B$26+B116*가정!$B$27</f>
        <v>111000</v>
      </c>
      <c r="G116" s="7" t="n">
        <f aca="false">B116*가정!$B$28</f>
        <v>0</v>
      </c>
      <c r="H116" s="7" t="n">
        <f aca="false">B116-C116-E116-F116-G116</f>
        <v>15689000</v>
      </c>
      <c r="I116" s="7" t="n">
        <f aca="false">H116-IF(가정!$B$7=1,가정!$B$5,0)</f>
        <v>11689000</v>
      </c>
      <c r="J116" s="7" t="n">
        <f aca="false">MAX(0,I116)*가정!$B$6</f>
        <v>10520100</v>
      </c>
      <c r="K116" s="7" t="n">
        <f aca="false">가정!$B$5+J116</f>
        <v>14520100</v>
      </c>
      <c r="L116" s="7" t="n">
        <f aca="false">H116-K116</f>
        <v>1168900</v>
      </c>
      <c r="M116" s="8" t="n">
        <f aca="false">IF(B116=0,0,K116/B116)</f>
        <v>0.45107486797142</v>
      </c>
      <c r="N116" s="7" t="n">
        <f aca="false">K116/가정!$B$8</f>
        <v>72600.5</v>
      </c>
      <c r="O116" s="7" t="n">
        <f aca="false">IF(I116&gt;0,A116,"")</f>
        <v>111</v>
      </c>
      <c r="P116" s="7" t="n">
        <f aca="false">IF(L116&gt;=0,A116,"")</f>
        <v>111</v>
      </c>
      <c r="Q116" s="7" t="n">
        <f aca="false">IF(K116&gt;=가정!$B$32,A116,"")</f>
        <v>111</v>
      </c>
      <c r="R116" s="7" t="str">
        <f aca="false">IF(MAX(0,I116)*(1-가정!$B$6)*'1억 상환'!$B$6&gt;='1억 상환'!$B$5,A116,"")</f>
        <v/>
      </c>
    </row>
    <row r="117" customFormat="false" ht="15" hidden="false" customHeight="false" outlineLevel="0" collapsed="false">
      <c r="A117" s="7" t="n">
        <v>112</v>
      </c>
      <c r="B117" s="7" t="n">
        <f aca="false">A117*가정!$B$10</f>
        <v>32480000</v>
      </c>
      <c r="C117" s="7" t="n">
        <f aca="false">가정!$B$34</f>
        <v>3590000</v>
      </c>
      <c r="D117" s="7" t="n">
        <f aca="false">ROUNDUP(MAX(0,A117-가정!$B$18)/가정!$B$19,0)</f>
        <v>2</v>
      </c>
      <c r="E117" s="7" t="n">
        <f aca="false">D117*가정!$B$20+ROUNDUP(A117/가정!$B$22,0)*가정!$B$21+ROUNDUP(A117/가정!$B$24,0)*가정!$B$23</f>
        <v>12800000</v>
      </c>
      <c r="F117" s="7" t="n">
        <f aca="false">A117*가정!$B$26+B117*가정!$B$27</f>
        <v>112000</v>
      </c>
      <c r="G117" s="7" t="n">
        <f aca="false">B117*가정!$B$28</f>
        <v>0</v>
      </c>
      <c r="H117" s="7" t="n">
        <f aca="false">B117-C117-E117-F117-G117</f>
        <v>15978000</v>
      </c>
      <c r="I117" s="7" t="n">
        <f aca="false">H117-IF(가정!$B$7=1,가정!$B$5,0)</f>
        <v>11978000</v>
      </c>
      <c r="J117" s="7" t="n">
        <f aca="false">MAX(0,I117)*가정!$B$6</f>
        <v>10780200</v>
      </c>
      <c r="K117" s="7" t="n">
        <f aca="false">가정!$B$5+J117</f>
        <v>14780200</v>
      </c>
      <c r="L117" s="7" t="n">
        <f aca="false">H117-K117</f>
        <v>1197800</v>
      </c>
      <c r="M117" s="8" t="n">
        <f aca="false">IF(B117=0,0,K117/B117)</f>
        <v>0.455055418719212</v>
      </c>
      <c r="N117" s="7" t="n">
        <f aca="false">K117/가정!$B$8</f>
        <v>73901</v>
      </c>
      <c r="O117" s="7" t="n">
        <f aca="false">IF(I117&gt;0,A117,"")</f>
        <v>112</v>
      </c>
      <c r="P117" s="7" t="n">
        <f aca="false">IF(L117&gt;=0,A117,"")</f>
        <v>112</v>
      </c>
      <c r="Q117" s="7" t="n">
        <f aca="false">IF(K117&gt;=가정!$B$32,A117,"")</f>
        <v>112</v>
      </c>
      <c r="R117" s="7" t="str">
        <f aca="false">IF(MAX(0,I117)*(1-가정!$B$6)*'1억 상환'!$B$6&gt;='1억 상환'!$B$5,A117,"")</f>
        <v/>
      </c>
    </row>
    <row r="118" customFormat="false" ht="15" hidden="false" customHeight="false" outlineLevel="0" collapsed="false">
      <c r="A118" s="7" t="n">
        <v>113</v>
      </c>
      <c r="B118" s="7" t="n">
        <f aca="false">A118*가정!$B$10</f>
        <v>32770000</v>
      </c>
      <c r="C118" s="7" t="n">
        <f aca="false">가정!$B$34</f>
        <v>3590000</v>
      </c>
      <c r="D118" s="7" t="n">
        <f aca="false">ROUNDUP(MAX(0,A118-가정!$B$18)/가정!$B$19,0)</f>
        <v>2</v>
      </c>
      <c r="E118" s="7" t="n">
        <f aca="false">D118*가정!$B$20+ROUNDUP(A118/가정!$B$22,0)*가정!$B$21+ROUNDUP(A118/가정!$B$24,0)*가정!$B$23</f>
        <v>12800000</v>
      </c>
      <c r="F118" s="7" t="n">
        <f aca="false">A118*가정!$B$26+B118*가정!$B$27</f>
        <v>113000</v>
      </c>
      <c r="G118" s="7" t="n">
        <f aca="false">B118*가정!$B$28</f>
        <v>0</v>
      </c>
      <c r="H118" s="7" t="n">
        <f aca="false">B118-C118-E118-F118-G118</f>
        <v>16267000</v>
      </c>
      <c r="I118" s="7" t="n">
        <f aca="false">H118-IF(가정!$B$7=1,가정!$B$5,0)</f>
        <v>12267000</v>
      </c>
      <c r="J118" s="7" t="n">
        <f aca="false">MAX(0,I118)*가정!$B$6</f>
        <v>11040300</v>
      </c>
      <c r="K118" s="7" t="n">
        <f aca="false">가정!$B$5+J118</f>
        <v>15040300</v>
      </c>
      <c r="L118" s="7" t="n">
        <f aca="false">H118-K118</f>
        <v>1226700</v>
      </c>
      <c r="M118" s="8" t="n">
        <f aca="false">IF(B118=0,0,K118/B118)</f>
        <v>0.458965517241379</v>
      </c>
      <c r="N118" s="7" t="n">
        <f aca="false">K118/가정!$B$8</f>
        <v>75201.5</v>
      </c>
      <c r="O118" s="7" t="n">
        <f aca="false">IF(I118&gt;0,A118,"")</f>
        <v>113</v>
      </c>
      <c r="P118" s="7" t="n">
        <f aca="false">IF(L118&gt;=0,A118,"")</f>
        <v>113</v>
      </c>
      <c r="Q118" s="7" t="n">
        <f aca="false">IF(K118&gt;=가정!$B$32,A118,"")</f>
        <v>113</v>
      </c>
      <c r="R118" s="7" t="str">
        <f aca="false">IF(MAX(0,I118)*(1-가정!$B$6)*'1억 상환'!$B$6&gt;='1억 상환'!$B$5,A118,"")</f>
        <v/>
      </c>
    </row>
    <row r="119" customFormat="false" ht="15" hidden="false" customHeight="false" outlineLevel="0" collapsed="false">
      <c r="A119" s="7" t="n">
        <v>114</v>
      </c>
      <c r="B119" s="7" t="n">
        <f aca="false">A119*가정!$B$10</f>
        <v>33060000</v>
      </c>
      <c r="C119" s="7" t="n">
        <f aca="false">가정!$B$34</f>
        <v>3590000</v>
      </c>
      <c r="D119" s="7" t="n">
        <f aca="false">ROUNDUP(MAX(0,A119-가정!$B$18)/가정!$B$19,0)</f>
        <v>2</v>
      </c>
      <c r="E119" s="7" t="n">
        <f aca="false">D119*가정!$B$20+ROUNDUP(A119/가정!$B$22,0)*가정!$B$21+ROUNDUP(A119/가정!$B$24,0)*가정!$B$23</f>
        <v>12800000</v>
      </c>
      <c r="F119" s="7" t="n">
        <f aca="false">A119*가정!$B$26+B119*가정!$B$27</f>
        <v>114000</v>
      </c>
      <c r="G119" s="7" t="n">
        <f aca="false">B119*가정!$B$28</f>
        <v>0</v>
      </c>
      <c r="H119" s="7" t="n">
        <f aca="false">B119-C119-E119-F119-G119</f>
        <v>16556000</v>
      </c>
      <c r="I119" s="7" t="n">
        <f aca="false">H119-IF(가정!$B$7=1,가정!$B$5,0)</f>
        <v>12556000</v>
      </c>
      <c r="J119" s="7" t="n">
        <f aca="false">MAX(0,I119)*가정!$B$6</f>
        <v>11300400</v>
      </c>
      <c r="K119" s="7" t="n">
        <f aca="false">가정!$B$5+J119</f>
        <v>15300400</v>
      </c>
      <c r="L119" s="7" t="n">
        <f aca="false">H119-K119</f>
        <v>1255600</v>
      </c>
      <c r="M119" s="8" t="n">
        <f aca="false">IF(B119=0,0,K119/B119)</f>
        <v>0.46280701754386</v>
      </c>
      <c r="N119" s="7" t="n">
        <f aca="false">K119/가정!$B$8</f>
        <v>76502</v>
      </c>
      <c r="O119" s="7" t="n">
        <f aca="false">IF(I119&gt;0,A119,"")</f>
        <v>114</v>
      </c>
      <c r="P119" s="7" t="n">
        <f aca="false">IF(L119&gt;=0,A119,"")</f>
        <v>114</v>
      </c>
      <c r="Q119" s="7" t="n">
        <f aca="false">IF(K119&gt;=가정!$B$32,A119,"")</f>
        <v>114</v>
      </c>
      <c r="R119" s="7" t="str">
        <f aca="false">IF(MAX(0,I119)*(1-가정!$B$6)*'1억 상환'!$B$6&gt;='1억 상환'!$B$5,A119,"")</f>
        <v/>
      </c>
    </row>
    <row r="120" customFormat="false" ht="15" hidden="false" customHeight="false" outlineLevel="0" collapsed="false">
      <c r="A120" s="7" t="n">
        <v>115</v>
      </c>
      <c r="B120" s="7" t="n">
        <f aca="false">A120*가정!$B$10</f>
        <v>33350000</v>
      </c>
      <c r="C120" s="7" t="n">
        <f aca="false">가정!$B$34</f>
        <v>3590000</v>
      </c>
      <c r="D120" s="7" t="n">
        <f aca="false">ROUNDUP(MAX(0,A120-가정!$B$18)/가정!$B$19,0)</f>
        <v>2</v>
      </c>
      <c r="E120" s="7" t="n">
        <f aca="false">D120*가정!$B$20+ROUNDUP(A120/가정!$B$22,0)*가정!$B$21+ROUNDUP(A120/가정!$B$24,0)*가정!$B$23</f>
        <v>12800000</v>
      </c>
      <c r="F120" s="7" t="n">
        <f aca="false">A120*가정!$B$26+B120*가정!$B$27</f>
        <v>115000</v>
      </c>
      <c r="G120" s="7" t="n">
        <f aca="false">B120*가정!$B$28</f>
        <v>0</v>
      </c>
      <c r="H120" s="7" t="n">
        <f aca="false">B120-C120-E120-F120-G120</f>
        <v>16845000</v>
      </c>
      <c r="I120" s="7" t="n">
        <f aca="false">H120-IF(가정!$B$7=1,가정!$B$5,0)</f>
        <v>12845000</v>
      </c>
      <c r="J120" s="7" t="n">
        <f aca="false">MAX(0,I120)*가정!$B$6</f>
        <v>11560500</v>
      </c>
      <c r="K120" s="7" t="n">
        <f aca="false">가정!$B$5+J120</f>
        <v>15560500</v>
      </c>
      <c r="L120" s="7" t="n">
        <f aca="false">H120-K120</f>
        <v>1284500</v>
      </c>
      <c r="M120" s="8" t="n">
        <f aca="false">IF(B120=0,0,K120/B120)</f>
        <v>0.466581709145427</v>
      </c>
      <c r="N120" s="7" t="n">
        <f aca="false">K120/가정!$B$8</f>
        <v>77802.5</v>
      </c>
      <c r="O120" s="7" t="n">
        <f aca="false">IF(I120&gt;0,A120,"")</f>
        <v>115</v>
      </c>
      <c r="P120" s="7" t="n">
        <f aca="false">IF(L120&gt;=0,A120,"")</f>
        <v>115</v>
      </c>
      <c r="Q120" s="7" t="n">
        <f aca="false">IF(K120&gt;=가정!$B$32,A120,"")</f>
        <v>115</v>
      </c>
      <c r="R120" s="7" t="str">
        <f aca="false">IF(MAX(0,I120)*(1-가정!$B$6)*'1억 상환'!$B$6&gt;='1억 상환'!$B$5,A120,"")</f>
        <v/>
      </c>
    </row>
    <row r="121" customFormat="false" ht="15" hidden="false" customHeight="false" outlineLevel="0" collapsed="false">
      <c r="A121" s="7" t="n">
        <v>116</v>
      </c>
      <c r="B121" s="7" t="n">
        <f aca="false">A121*가정!$B$10</f>
        <v>33640000</v>
      </c>
      <c r="C121" s="7" t="n">
        <f aca="false">가정!$B$34</f>
        <v>3590000</v>
      </c>
      <c r="D121" s="7" t="n">
        <f aca="false">ROUNDUP(MAX(0,A121-가정!$B$18)/가정!$B$19,0)</f>
        <v>2</v>
      </c>
      <c r="E121" s="7" t="n">
        <f aca="false">D121*가정!$B$20+ROUNDUP(A121/가정!$B$22,0)*가정!$B$21+ROUNDUP(A121/가정!$B$24,0)*가정!$B$23</f>
        <v>12800000</v>
      </c>
      <c r="F121" s="7" t="n">
        <f aca="false">A121*가정!$B$26+B121*가정!$B$27</f>
        <v>116000</v>
      </c>
      <c r="G121" s="7" t="n">
        <f aca="false">B121*가정!$B$28</f>
        <v>0</v>
      </c>
      <c r="H121" s="7" t="n">
        <f aca="false">B121-C121-E121-F121-G121</f>
        <v>17134000</v>
      </c>
      <c r="I121" s="7" t="n">
        <f aca="false">H121-IF(가정!$B$7=1,가정!$B$5,0)</f>
        <v>13134000</v>
      </c>
      <c r="J121" s="7" t="n">
        <f aca="false">MAX(0,I121)*가정!$B$6</f>
        <v>11820600</v>
      </c>
      <c r="K121" s="7" t="n">
        <f aca="false">가정!$B$5+J121</f>
        <v>15820600</v>
      </c>
      <c r="L121" s="7" t="n">
        <f aca="false">H121-K121</f>
        <v>1313400</v>
      </c>
      <c r="M121" s="8" t="n">
        <f aca="false">IF(B121=0,0,K121/B121)</f>
        <v>0.470291319857313</v>
      </c>
      <c r="N121" s="7" t="n">
        <f aca="false">K121/가정!$B$8</f>
        <v>79103</v>
      </c>
      <c r="O121" s="7" t="n">
        <f aca="false">IF(I121&gt;0,A121,"")</f>
        <v>116</v>
      </c>
      <c r="P121" s="7" t="n">
        <f aca="false">IF(L121&gt;=0,A121,"")</f>
        <v>116</v>
      </c>
      <c r="Q121" s="7" t="n">
        <f aca="false">IF(K121&gt;=가정!$B$32,A121,"")</f>
        <v>116</v>
      </c>
      <c r="R121" s="7" t="str">
        <f aca="false">IF(MAX(0,I121)*(1-가정!$B$6)*'1억 상환'!$B$6&gt;='1억 상환'!$B$5,A121,"")</f>
        <v/>
      </c>
    </row>
    <row r="122" customFormat="false" ht="15" hidden="false" customHeight="false" outlineLevel="0" collapsed="false">
      <c r="A122" s="7" t="n">
        <v>117</v>
      </c>
      <c r="B122" s="7" t="n">
        <f aca="false">A122*가정!$B$10</f>
        <v>33930000</v>
      </c>
      <c r="C122" s="7" t="n">
        <f aca="false">가정!$B$34</f>
        <v>3590000</v>
      </c>
      <c r="D122" s="7" t="n">
        <f aca="false">ROUNDUP(MAX(0,A122-가정!$B$18)/가정!$B$19,0)</f>
        <v>2</v>
      </c>
      <c r="E122" s="7" t="n">
        <f aca="false">D122*가정!$B$20+ROUNDUP(A122/가정!$B$22,0)*가정!$B$21+ROUNDUP(A122/가정!$B$24,0)*가정!$B$23</f>
        <v>12800000</v>
      </c>
      <c r="F122" s="7" t="n">
        <f aca="false">A122*가정!$B$26+B122*가정!$B$27</f>
        <v>117000</v>
      </c>
      <c r="G122" s="7" t="n">
        <f aca="false">B122*가정!$B$28</f>
        <v>0</v>
      </c>
      <c r="H122" s="7" t="n">
        <f aca="false">B122-C122-E122-F122-G122</f>
        <v>17423000</v>
      </c>
      <c r="I122" s="7" t="n">
        <f aca="false">H122-IF(가정!$B$7=1,가정!$B$5,0)</f>
        <v>13423000</v>
      </c>
      <c r="J122" s="7" t="n">
        <f aca="false">MAX(0,I122)*가정!$B$6</f>
        <v>12080700</v>
      </c>
      <c r="K122" s="7" t="n">
        <f aca="false">가정!$B$5+J122</f>
        <v>16080700</v>
      </c>
      <c r="L122" s="7" t="n">
        <f aca="false">H122-K122</f>
        <v>1342300</v>
      </c>
      <c r="M122" s="8" t="n">
        <f aca="false">IF(B122=0,0,K122/B122)</f>
        <v>0.473937518420277</v>
      </c>
      <c r="N122" s="7" t="n">
        <f aca="false">K122/가정!$B$8</f>
        <v>80403.5</v>
      </c>
      <c r="O122" s="7" t="n">
        <f aca="false">IF(I122&gt;0,A122,"")</f>
        <v>117</v>
      </c>
      <c r="P122" s="7" t="n">
        <f aca="false">IF(L122&gt;=0,A122,"")</f>
        <v>117</v>
      </c>
      <c r="Q122" s="7" t="n">
        <f aca="false">IF(K122&gt;=가정!$B$32,A122,"")</f>
        <v>117</v>
      </c>
      <c r="R122" s="7" t="str">
        <f aca="false">IF(MAX(0,I122)*(1-가정!$B$6)*'1억 상환'!$B$6&gt;='1억 상환'!$B$5,A122,"")</f>
        <v/>
      </c>
    </row>
    <row r="123" customFormat="false" ht="15" hidden="false" customHeight="false" outlineLevel="0" collapsed="false">
      <c r="A123" s="7" t="n">
        <v>118</v>
      </c>
      <c r="B123" s="7" t="n">
        <f aca="false">A123*가정!$B$10</f>
        <v>34220000</v>
      </c>
      <c r="C123" s="7" t="n">
        <f aca="false">가정!$B$34</f>
        <v>3590000</v>
      </c>
      <c r="D123" s="7" t="n">
        <f aca="false">ROUNDUP(MAX(0,A123-가정!$B$18)/가정!$B$19,0)</f>
        <v>2</v>
      </c>
      <c r="E123" s="7" t="n">
        <f aca="false">D123*가정!$B$20+ROUNDUP(A123/가정!$B$22,0)*가정!$B$21+ROUNDUP(A123/가정!$B$24,0)*가정!$B$23</f>
        <v>12800000</v>
      </c>
      <c r="F123" s="7" t="n">
        <f aca="false">A123*가정!$B$26+B123*가정!$B$27</f>
        <v>118000</v>
      </c>
      <c r="G123" s="7" t="n">
        <f aca="false">B123*가정!$B$28</f>
        <v>0</v>
      </c>
      <c r="H123" s="7" t="n">
        <f aca="false">B123-C123-E123-F123-G123</f>
        <v>17712000</v>
      </c>
      <c r="I123" s="7" t="n">
        <f aca="false">H123-IF(가정!$B$7=1,가정!$B$5,0)</f>
        <v>13712000</v>
      </c>
      <c r="J123" s="7" t="n">
        <f aca="false">MAX(0,I123)*가정!$B$6</f>
        <v>12340800</v>
      </c>
      <c r="K123" s="7" t="n">
        <f aca="false">가정!$B$5+J123</f>
        <v>16340800</v>
      </c>
      <c r="L123" s="7" t="n">
        <f aca="false">H123-K123</f>
        <v>1371200</v>
      </c>
      <c r="M123" s="8" t="n">
        <f aca="false">IF(B123=0,0,K123/B123)</f>
        <v>0.477521917007598</v>
      </c>
      <c r="N123" s="7" t="n">
        <f aca="false">K123/가정!$B$8</f>
        <v>81704</v>
      </c>
      <c r="O123" s="7" t="n">
        <f aca="false">IF(I123&gt;0,A123,"")</f>
        <v>118</v>
      </c>
      <c r="P123" s="7" t="n">
        <f aca="false">IF(L123&gt;=0,A123,"")</f>
        <v>118</v>
      </c>
      <c r="Q123" s="7" t="n">
        <f aca="false">IF(K123&gt;=가정!$B$32,A123,"")</f>
        <v>118</v>
      </c>
      <c r="R123" s="7" t="str">
        <f aca="false">IF(MAX(0,I123)*(1-가정!$B$6)*'1억 상환'!$B$6&gt;='1억 상환'!$B$5,A123,"")</f>
        <v/>
      </c>
    </row>
    <row r="124" customFormat="false" ht="15" hidden="false" customHeight="false" outlineLevel="0" collapsed="false">
      <c r="A124" s="7" t="n">
        <v>119</v>
      </c>
      <c r="B124" s="7" t="n">
        <f aca="false">A124*가정!$B$10</f>
        <v>34510000</v>
      </c>
      <c r="C124" s="7" t="n">
        <f aca="false">가정!$B$34</f>
        <v>3590000</v>
      </c>
      <c r="D124" s="7" t="n">
        <f aca="false">ROUNDUP(MAX(0,A124-가정!$B$18)/가정!$B$19,0)</f>
        <v>2</v>
      </c>
      <c r="E124" s="7" t="n">
        <f aca="false">D124*가정!$B$20+ROUNDUP(A124/가정!$B$22,0)*가정!$B$21+ROUNDUP(A124/가정!$B$24,0)*가정!$B$23</f>
        <v>12800000</v>
      </c>
      <c r="F124" s="7" t="n">
        <f aca="false">A124*가정!$B$26+B124*가정!$B$27</f>
        <v>119000</v>
      </c>
      <c r="G124" s="7" t="n">
        <f aca="false">B124*가정!$B$28</f>
        <v>0</v>
      </c>
      <c r="H124" s="7" t="n">
        <f aca="false">B124-C124-E124-F124-G124</f>
        <v>18001000</v>
      </c>
      <c r="I124" s="7" t="n">
        <f aca="false">H124-IF(가정!$B$7=1,가정!$B$5,0)</f>
        <v>14001000</v>
      </c>
      <c r="J124" s="7" t="n">
        <f aca="false">MAX(0,I124)*가정!$B$6</f>
        <v>12600900</v>
      </c>
      <c r="K124" s="7" t="n">
        <f aca="false">가정!$B$5+J124</f>
        <v>16600900</v>
      </c>
      <c r="L124" s="7" t="n">
        <f aca="false">H124-K124</f>
        <v>1400100</v>
      </c>
      <c r="M124" s="8" t="n">
        <f aca="false">IF(B124=0,0,K124/B124)</f>
        <v>0.481046073601855</v>
      </c>
      <c r="N124" s="7" t="n">
        <f aca="false">K124/가정!$B$8</f>
        <v>83004.5</v>
      </c>
      <c r="O124" s="7" t="n">
        <f aca="false">IF(I124&gt;0,A124,"")</f>
        <v>119</v>
      </c>
      <c r="P124" s="7" t="n">
        <f aca="false">IF(L124&gt;=0,A124,"")</f>
        <v>119</v>
      </c>
      <c r="Q124" s="7" t="n">
        <f aca="false">IF(K124&gt;=가정!$B$32,A124,"")</f>
        <v>119</v>
      </c>
      <c r="R124" s="7" t="str">
        <f aca="false">IF(MAX(0,I124)*(1-가정!$B$6)*'1억 상환'!$B$6&gt;='1억 상환'!$B$5,A124,"")</f>
        <v/>
      </c>
    </row>
    <row r="125" customFormat="false" ht="15" hidden="false" customHeight="false" outlineLevel="0" collapsed="false">
      <c r="A125" s="7" t="n">
        <v>120</v>
      </c>
      <c r="B125" s="7" t="n">
        <f aca="false">A125*가정!$B$10</f>
        <v>34800000</v>
      </c>
      <c r="C125" s="7" t="n">
        <f aca="false">가정!$B$34</f>
        <v>3590000</v>
      </c>
      <c r="D125" s="7" t="n">
        <f aca="false">ROUNDUP(MAX(0,A125-가정!$B$18)/가정!$B$19,0)</f>
        <v>2</v>
      </c>
      <c r="E125" s="7" t="n">
        <f aca="false">D125*가정!$B$20+ROUNDUP(A125/가정!$B$22,0)*가정!$B$21+ROUNDUP(A125/가정!$B$24,0)*가정!$B$23</f>
        <v>12800000</v>
      </c>
      <c r="F125" s="7" t="n">
        <f aca="false">A125*가정!$B$26+B125*가정!$B$27</f>
        <v>120000</v>
      </c>
      <c r="G125" s="7" t="n">
        <f aca="false">B125*가정!$B$28</f>
        <v>0</v>
      </c>
      <c r="H125" s="7" t="n">
        <f aca="false">B125-C125-E125-F125-G125</f>
        <v>18290000</v>
      </c>
      <c r="I125" s="7" t="n">
        <f aca="false">H125-IF(가정!$B$7=1,가정!$B$5,0)</f>
        <v>14290000</v>
      </c>
      <c r="J125" s="7" t="n">
        <f aca="false">MAX(0,I125)*가정!$B$6</f>
        <v>12861000</v>
      </c>
      <c r="K125" s="7" t="n">
        <f aca="false">가정!$B$5+J125</f>
        <v>16861000</v>
      </c>
      <c r="L125" s="7" t="n">
        <f aca="false">H125-K125</f>
        <v>1429000</v>
      </c>
      <c r="M125" s="8" t="n">
        <f aca="false">IF(B125=0,0,K125/B125)</f>
        <v>0.484511494252874</v>
      </c>
      <c r="N125" s="7" t="n">
        <f aca="false">K125/가정!$B$8</f>
        <v>84305</v>
      </c>
      <c r="O125" s="7" t="n">
        <f aca="false">IF(I125&gt;0,A125,"")</f>
        <v>120</v>
      </c>
      <c r="P125" s="7" t="n">
        <f aca="false">IF(L125&gt;=0,A125,"")</f>
        <v>120</v>
      </c>
      <c r="Q125" s="7" t="n">
        <f aca="false">IF(K125&gt;=가정!$B$32,A125,"")</f>
        <v>120</v>
      </c>
      <c r="R125" s="7" t="str">
        <f aca="false">IF(MAX(0,I125)*(1-가정!$B$6)*'1억 상환'!$B$6&gt;='1억 상환'!$B$5,A125,"")</f>
        <v/>
      </c>
    </row>
    <row r="126" customFormat="false" ht="15" hidden="false" customHeight="false" outlineLevel="0" collapsed="false">
      <c r="A126" s="7" t="n">
        <v>121</v>
      </c>
      <c r="B126" s="7" t="n">
        <f aca="false">A126*가정!$B$10</f>
        <v>35090000</v>
      </c>
      <c r="C126" s="7" t="n">
        <f aca="false">가정!$B$34</f>
        <v>3590000</v>
      </c>
      <c r="D126" s="7" t="n">
        <f aca="false">ROUNDUP(MAX(0,A126-가정!$B$18)/가정!$B$19,0)</f>
        <v>3</v>
      </c>
      <c r="E126" s="7" t="n">
        <f aca="false">D126*가정!$B$20+ROUNDUP(A126/가정!$B$22,0)*가정!$B$21+ROUNDUP(A126/가정!$B$24,0)*가정!$B$23</f>
        <v>17300000</v>
      </c>
      <c r="F126" s="7" t="n">
        <f aca="false">A126*가정!$B$26+B126*가정!$B$27</f>
        <v>121000</v>
      </c>
      <c r="G126" s="7" t="n">
        <f aca="false">B126*가정!$B$28</f>
        <v>0</v>
      </c>
      <c r="H126" s="7" t="n">
        <f aca="false">B126-C126-E126-F126-G126</f>
        <v>14079000</v>
      </c>
      <c r="I126" s="7" t="n">
        <f aca="false">H126-IF(가정!$B$7=1,가정!$B$5,0)</f>
        <v>10079000</v>
      </c>
      <c r="J126" s="7" t="n">
        <f aca="false">MAX(0,I126)*가정!$B$6</f>
        <v>9071100</v>
      </c>
      <c r="K126" s="7" t="n">
        <f aca="false">가정!$B$5+J126</f>
        <v>13071100</v>
      </c>
      <c r="L126" s="7" t="n">
        <f aca="false">H126-K126</f>
        <v>1007900</v>
      </c>
      <c r="M126" s="8" t="n">
        <f aca="false">IF(B126=0,0,K126/B126)</f>
        <v>0.372502137361072</v>
      </c>
      <c r="N126" s="7" t="n">
        <f aca="false">K126/가정!$B$8</f>
        <v>65355.5</v>
      </c>
      <c r="O126" s="7" t="n">
        <f aca="false">IF(I126&gt;0,A126,"")</f>
        <v>121</v>
      </c>
      <c r="P126" s="7" t="n">
        <f aca="false">IF(L126&gt;=0,A126,"")</f>
        <v>121</v>
      </c>
      <c r="Q126" s="7" t="n">
        <f aca="false">IF(K126&gt;=가정!$B$32,A126,"")</f>
        <v>121</v>
      </c>
      <c r="R126" s="7" t="str">
        <f aca="false">IF(MAX(0,I126)*(1-가정!$B$6)*'1억 상환'!$B$6&gt;='1억 상환'!$B$5,A126,"")</f>
        <v/>
      </c>
    </row>
    <row r="127" customFormat="false" ht="15" hidden="false" customHeight="false" outlineLevel="0" collapsed="false">
      <c r="A127" s="7" t="n">
        <v>122</v>
      </c>
      <c r="B127" s="7" t="n">
        <f aca="false">A127*가정!$B$10</f>
        <v>35380000</v>
      </c>
      <c r="C127" s="7" t="n">
        <f aca="false">가정!$B$34</f>
        <v>3590000</v>
      </c>
      <c r="D127" s="7" t="n">
        <f aca="false">ROUNDUP(MAX(0,A127-가정!$B$18)/가정!$B$19,0)</f>
        <v>3</v>
      </c>
      <c r="E127" s="7" t="n">
        <f aca="false">D127*가정!$B$20+ROUNDUP(A127/가정!$B$22,0)*가정!$B$21+ROUNDUP(A127/가정!$B$24,0)*가정!$B$23</f>
        <v>17300000</v>
      </c>
      <c r="F127" s="7" t="n">
        <f aca="false">A127*가정!$B$26+B127*가정!$B$27</f>
        <v>122000</v>
      </c>
      <c r="G127" s="7" t="n">
        <f aca="false">B127*가정!$B$28</f>
        <v>0</v>
      </c>
      <c r="H127" s="7" t="n">
        <f aca="false">B127-C127-E127-F127-G127</f>
        <v>14368000</v>
      </c>
      <c r="I127" s="7" t="n">
        <f aca="false">H127-IF(가정!$B$7=1,가정!$B$5,0)</f>
        <v>10368000</v>
      </c>
      <c r="J127" s="7" t="n">
        <f aca="false">MAX(0,I127)*가정!$B$6</f>
        <v>9331200</v>
      </c>
      <c r="K127" s="7" t="n">
        <f aca="false">가정!$B$5+J127</f>
        <v>13331200</v>
      </c>
      <c r="L127" s="7" t="n">
        <f aca="false">H127-K127</f>
        <v>1036800</v>
      </c>
      <c r="M127" s="8" t="n">
        <f aca="false">IF(B127=0,0,K127/B127)</f>
        <v>0.3768004522329</v>
      </c>
      <c r="N127" s="7" t="n">
        <f aca="false">K127/가정!$B$8</f>
        <v>66656</v>
      </c>
      <c r="O127" s="7" t="n">
        <f aca="false">IF(I127&gt;0,A127,"")</f>
        <v>122</v>
      </c>
      <c r="P127" s="7" t="n">
        <f aca="false">IF(L127&gt;=0,A127,"")</f>
        <v>122</v>
      </c>
      <c r="Q127" s="7" t="n">
        <f aca="false">IF(K127&gt;=가정!$B$32,A127,"")</f>
        <v>122</v>
      </c>
      <c r="R127" s="7" t="str">
        <f aca="false">IF(MAX(0,I127)*(1-가정!$B$6)*'1억 상환'!$B$6&gt;='1억 상환'!$B$5,A127,"")</f>
        <v/>
      </c>
    </row>
    <row r="128" customFormat="false" ht="15" hidden="false" customHeight="false" outlineLevel="0" collapsed="false">
      <c r="A128" s="7" t="n">
        <v>123</v>
      </c>
      <c r="B128" s="7" t="n">
        <f aca="false">A128*가정!$B$10</f>
        <v>35670000</v>
      </c>
      <c r="C128" s="7" t="n">
        <f aca="false">가정!$B$34</f>
        <v>3590000</v>
      </c>
      <c r="D128" s="7" t="n">
        <f aca="false">ROUNDUP(MAX(0,A128-가정!$B$18)/가정!$B$19,0)</f>
        <v>3</v>
      </c>
      <c r="E128" s="7" t="n">
        <f aca="false">D128*가정!$B$20+ROUNDUP(A128/가정!$B$22,0)*가정!$B$21+ROUNDUP(A128/가정!$B$24,0)*가정!$B$23</f>
        <v>17300000</v>
      </c>
      <c r="F128" s="7" t="n">
        <f aca="false">A128*가정!$B$26+B128*가정!$B$27</f>
        <v>123000</v>
      </c>
      <c r="G128" s="7" t="n">
        <f aca="false">B128*가정!$B$28</f>
        <v>0</v>
      </c>
      <c r="H128" s="7" t="n">
        <f aca="false">B128-C128-E128-F128-G128</f>
        <v>14657000</v>
      </c>
      <c r="I128" s="7" t="n">
        <f aca="false">H128-IF(가정!$B$7=1,가정!$B$5,0)</f>
        <v>10657000</v>
      </c>
      <c r="J128" s="7" t="n">
        <f aca="false">MAX(0,I128)*가정!$B$6</f>
        <v>9591300</v>
      </c>
      <c r="K128" s="7" t="n">
        <f aca="false">가정!$B$5+J128</f>
        <v>13591300</v>
      </c>
      <c r="L128" s="7" t="n">
        <f aca="false">H128-K128</f>
        <v>1065700</v>
      </c>
      <c r="M128" s="8" t="n">
        <f aca="false">IF(B128=0,0,K128/B128)</f>
        <v>0.381028875805999</v>
      </c>
      <c r="N128" s="7" t="n">
        <f aca="false">K128/가정!$B$8</f>
        <v>67956.5</v>
      </c>
      <c r="O128" s="7" t="n">
        <f aca="false">IF(I128&gt;0,A128,"")</f>
        <v>123</v>
      </c>
      <c r="P128" s="7" t="n">
        <f aca="false">IF(L128&gt;=0,A128,"")</f>
        <v>123</v>
      </c>
      <c r="Q128" s="7" t="n">
        <f aca="false">IF(K128&gt;=가정!$B$32,A128,"")</f>
        <v>123</v>
      </c>
      <c r="R128" s="7" t="str">
        <f aca="false">IF(MAX(0,I128)*(1-가정!$B$6)*'1억 상환'!$B$6&gt;='1억 상환'!$B$5,A128,"")</f>
        <v/>
      </c>
    </row>
    <row r="129" customFormat="false" ht="15" hidden="false" customHeight="false" outlineLevel="0" collapsed="false">
      <c r="A129" s="7" t="n">
        <v>124</v>
      </c>
      <c r="B129" s="7" t="n">
        <f aca="false">A129*가정!$B$10</f>
        <v>35960000</v>
      </c>
      <c r="C129" s="7" t="n">
        <f aca="false">가정!$B$34</f>
        <v>3590000</v>
      </c>
      <c r="D129" s="7" t="n">
        <f aca="false">ROUNDUP(MAX(0,A129-가정!$B$18)/가정!$B$19,0)</f>
        <v>3</v>
      </c>
      <c r="E129" s="7" t="n">
        <f aca="false">D129*가정!$B$20+ROUNDUP(A129/가정!$B$22,0)*가정!$B$21+ROUNDUP(A129/가정!$B$24,0)*가정!$B$23</f>
        <v>17300000</v>
      </c>
      <c r="F129" s="7" t="n">
        <f aca="false">A129*가정!$B$26+B129*가정!$B$27</f>
        <v>124000</v>
      </c>
      <c r="G129" s="7" t="n">
        <f aca="false">B129*가정!$B$28</f>
        <v>0</v>
      </c>
      <c r="H129" s="7" t="n">
        <f aca="false">B129-C129-E129-F129-G129</f>
        <v>14946000</v>
      </c>
      <c r="I129" s="7" t="n">
        <f aca="false">H129-IF(가정!$B$7=1,가정!$B$5,0)</f>
        <v>10946000</v>
      </c>
      <c r="J129" s="7" t="n">
        <f aca="false">MAX(0,I129)*가정!$B$6</f>
        <v>9851400</v>
      </c>
      <c r="K129" s="7" t="n">
        <f aca="false">가정!$B$5+J129</f>
        <v>13851400</v>
      </c>
      <c r="L129" s="7" t="n">
        <f aca="false">H129-K129</f>
        <v>1094600</v>
      </c>
      <c r="M129" s="8" t="n">
        <f aca="false">IF(B129=0,0,K129/B129)</f>
        <v>0.385189098998888</v>
      </c>
      <c r="N129" s="7" t="n">
        <f aca="false">K129/가정!$B$8</f>
        <v>69257</v>
      </c>
      <c r="O129" s="7" t="n">
        <f aca="false">IF(I129&gt;0,A129,"")</f>
        <v>124</v>
      </c>
      <c r="P129" s="7" t="n">
        <f aca="false">IF(L129&gt;=0,A129,"")</f>
        <v>124</v>
      </c>
      <c r="Q129" s="7" t="n">
        <f aca="false">IF(K129&gt;=가정!$B$32,A129,"")</f>
        <v>124</v>
      </c>
      <c r="R129" s="7" t="str">
        <f aca="false">IF(MAX(0,I129)*(1-가정!$B$6)*'1억 상환'!$B$6&gt;='1억 상환'!$B$5,A129,"")</f>
        <v/>
      </c>
    </row>
    <row r="130" customFormat="false" ht="15" hidden="false" customHeight="false" outlineLevel="0" collapsed="false">
      <c r="A130" s="7" t="n">
        <v>125</v>
      </c>
      <c r="B130" s="7" t="n">
        <f aca="false">A130*가정!$B$10</f>
        <v>36250000</v>
      </c>
      <c r="C130" s="7" t="n">
        <f aca="false">가정!$B$34</f>
        <v>3590000</v>
      </c>
      <c r="D130" s="7" t="n">
        <f aca="false">ROUNDUP(MAX(0,A130-가정!$B$18)/가정!$B$19,0)</f>
        <v>3</v>
      </c>
      <c r="E130" s="7" t="n">
        <f aca="false">D130*가정!$B$20+ROUNDUP(A130/가정!$B$22,0)*가정!$B$21+ROUNDUP(A130/가정!$B$24,0)*가정!$B$23</f>
        <v>17300000</v>
      </c>
      <c r="F130" s="7" t="n">
        <f aca="false">A130*가정!$B$26+B130*가정!$B$27</f>
        <v>125000</v>
      </c>
      <c r="G130" s="7" t="n">
        <f aca="false">B130*가정!$B$28</f>
        <v>0</v>
      </c>
      <c r="H130" s="7" t="n">
        <f aca="false">B130-C130-E130-F130-G130</f>
        <v>15235000</v>
      </c>
      <c r="I130" s="7" t="n">
        <f aca="false">H130-IF(가정!$B$7=1,가정!$B$5,0)</f>
        <v>11235000</v>
      </c>
      <c r="J130" s="7" t="n">
        <f aca="false">MAX(0,I130)*가정!$B$6</f>
        <v>10111500</v>
      </c>
      <c r="K130" s="7" t="n">
        <f aca="false">가정!$B$5+J130</f>
        <v>14111500</v>
      </c>
      <c r="L130" s="7" t="n">
        <f aca="false">H130-K130</f>
        <v>1123500</v>
      </c>
      <c r="M130" s="8" t="n">
        <f aca="false">IF(B130=0,0,K130/B130)</f>
        <v>0.38928275862069</v>
      </c>
      <c r="N130" s="7" t="n">
        <f aca="false">K130/가정!$B$8</f>
        <v>70557.5</v>
      </c>
      <c r="O130" s="7" t="n">
        <f aca="false">IF(I130&gt;0,A130,"")</f>
        <v>125</v>
      </c>
      <c r="P130" s="7" t="n">
        <f aca="false">IF(L130&gt;=0,A130,"")</f>
        <v>125</v>
      </c>
      <c r="Q130" s="7" t="n">
        <f aca="false">IF(K130&gt;=가정!$B$32,A130,"")</f>
        <v>125</v>
      </c>
      <c r="R130" s="7" t="str">
        <f aca="false">IF(MAX(0,I130)*(1-가정!$B$6)*'1억 상환'!$B$6&gt;='1억 상환'!$B$5,A130,"")</f>
        <v/>
      </c>
    </row>
    <row r="131" customFormat="false" ht="15" hidden="false" customHeight="false" outlineLevel="0" collapsed="false">
      <c r="A131" s="7" t="n">
        <v>126</v>
      </c>
      <c r="B131" s="7" t="n">
        <f aca="false">A131*가정!$B$10</f>
        <v>36540000</v>
      </c>
      <c r="C131" s="7" t="n">
        <f aca="false">가정!$B$34</f>
        <v>3590000</v>
      </c>
      <c r="D131" s="7" t="n">
        <f aca="false">ROUNDUP(MAX(0,A131-가정!$B$18)/가정!$B$19,0)</f>
        <v>3</v>
      </c>
      <c r="E131" s="7" t="n">
        <f aca="false">D131*가정!$B$20+ROUNDUP(A131/가정!$B$22,0)*가정!$B$21+ROUNDUP(A131/가정!$B$24,0)*가정!$B$23</f>
        <v>17300000</v>
      </c>
      <c r="F131" s="7" t="n">
        <f aca="false">A131*가정!$B$26+B131*가정!$B$27</f>
        <v>126000</v>
      </c>
      <c r="G131" s="7" t="n">
        <f aca="false">B131*가정!$B$28</f>
        <v>0</v>
      </c>
      <c r="H131" s="7" t="n">
        <f aca="false">B131-C131-E131-F131-G131</f>
        <v>15524000</v>
      </c>
      <c r="I131" s="7" t="n">
        <f aca="false">H131-IF(가정!$B$7=1,가정!$B$5,0)</f>
        <v>11524000</v>
      </c>
      <c r="J131" s="7" t="n">
        <f aca="false">MAX(0,I131)*가정!$B$6</f>
        <v>10371600</v>
      </c>
      <c r="K131" s="7" t="n">
        <f aca="false">가정!$B$5+J131</f>
        <v>14371600</v>
      </c>
      <c r="L131" s="7" t="n">
        <f aca="false">H131-K131</f>
        <v>1152400</v>
      </c>
      <c r="M131" s="8" t="n">
        <f aca="false">IF(B131=0,0,K131/B131)</f>
        <v>0.393311439518336</v>
      </c>
      <c r="N131" s="7" t="n">
        <f aca="false">K131/가정!$B$8</f>
        <v>71858</v>
      </c>
      <c r="O131" s="7" t="n">
        <f aca="false">IF(I131&gt;0,A131,"")</f>
        <v>126</v>
      </c>
      <c r="P131" s="7" t="n">
        <f aca="false">IF(L131&gt;=0,A131,"")</f>
        <v>126</v>
      </c>
      <c r="Q131" s="7" t="n">
        <f aca="false">IF(K131&gt;=가정!$B$32,A131,"")</f>
        <v>126</v>
      </c>
      <c r="R131" s="7" t="str">
        <f aca="false">IF(MAX(0,I131)*(1-가정!$B$6)*'1억 상환'!$B$6&gt;='1억 상환'!$B$5,A131,"")</f>
        <v/>
      </c>
    </row>
    <row r="132" customFormat="false" ht="15" hidden="false" customHeight="false" outlineLevel="0" collapsed="false">
      <c r="A132" s="7" t="n">
        <v>127</v>
      </c>
      <c r="B132" s="7" t="n">
        <f aca="false">A132*가정!$B$10</f>
        <v>36830000</v>
      </c>
      <c r="C132" s="7" t="n">
        <f aca="false">가정!$B$34</f>
        <v>3590000</v>
      </c>
      <c r="D132" s="7" t="n">
        <f aca="false">ROUNDUP(MAX(0,A132-가정!$B$18)/가정!$B$19,0)</f>
        <v>3</v>
      </c>
      <c r="E132" s="7" t="n">
        <f aca="false">D132*가정!$B$20+ROUNDUP(A132/가정!$B$22,0)*가정!$B$21+ROUNDUP(A132/가정!$B$24,0)*가정!$B$23</f>
        <v>17300000</v>
      </c>
      <c r="F132" s="7" t="n">
        <f aca="false">A132*가정!$B$26+B132*가정!$B$27</f>
        <v>127000</v>
      </c>
      <c r="G132" s="7" t="n">
        <f aca="false">B132*가정!$B$28</f>
        <v>0</v>
      </c>
      <c r="H132" s="7" t="n">
        <f aca="false">B132-C132-E132-F132-G132</f>
        <v>15813000</v>
      </c>
      <c r="I132" s="7" t="n">
        <f aca="false">H132-IF(가정!$B$7=1,가정!$B$5,0)</f>
        <v>11813000</v>
      </c>
      <c r="J132" s="7" t="n">
        <f aca="false">MAX(0,I132)*가정!$B$6</f>
        <v>10631700</v>
      </c>
      <c r="K132" s="7" t="n">
        <f aca="false">가정!$B$5+J132</f>
        <v>14631700</v>
      </c>
      <c r="L132" s="7" t="n">
        <f aca="false">H132-K132</f>
        <v>1181300</v>
      </c>
      <c r="M132" s="8" t="n">
        <f aca="false">IF(B132=0,0,K132/B132)</f>
        <v>0.397276676622319</v>
      </c>
      <c r="N132" s="7" t="n">
        <f aca="false">K132/가정!$B$8</f>
        <v>73158.5</v>
      </c>
      <c r="O132" s="7" t="n">
        <f aca="false">IF(I132&gt;0,A132,"")</f>
        <v>127</v>
      </c>
      <c r="P132" s="7" t="n">
        <f aca="false">IF(L132&gt;=0,A132,"")</f>
        <v>127</v>
      </c>
      <c r="Q132" s="7" t="n">
        <f aca="false">IF(K132&gt;=가정!$B$32,A132,"")</f>
        <v>127</v>
      </c>
      <c r="R132" s="7" t="str">
        <f aca="false">IF(MAX(0,I132)*(1-가정!$B$6)*'1억 상환'!$B$6&gt;='1억 상환'!$B$5,A132,"")</f>
        <v/>
      </c>
    </row>
    <row r="133" customFormat="false" ht="15" hidden="false" customHeight="false" outlineLevel="0" collapsed="false">
      <c r="A133" s="7" t="n">
        <v>128</v>
      </c>
      <c r="B133" s="7" t="n">
        <f aca="false">A133*가정!$B$10</f>
        <v>37120000</v>
      </c>
      <c r="C133" s="7" t="n">
        <f aca="false">가정!$B$34</f>
        <v>3590000</v>
      </c>
      <c r="D133" s="7" t="n">
        <f aca="false">ROUNDUP(MAX(0,A133-가정!$B$18)/가정!$B$19,0)</f>
        <v>3</v>
      </c>
      <c r="E133" s="7" t="n">
        <f aca="false">D133*가정!$B$20+ROUNDUP(A133/가정!$B$22,0)*가정!$B$21+ROUNDUP(A133/가정!$B$24,0)*가정!$B$23</f>
        <v>17300000</v>
      </c>
      <c r="F133" s="7" t="n">
        <f aca="false">A133*가정!$B$26+B133*가정!$B$27</f>
        <v>128000</v>
      </c>
      <c r="G133" s="7" t="n">
        <f aca="false">B133*가정!$B$28</f>
        <v>0</v>
      </c>
      <c r="H133" s="7" t="n">
        <f aca="false">B133-C133-E133-F133-G133</f>
        <v>16102000</v>
      </c>
      <c r="I133" s="7" t="n">
        <f aca="false">H133-IF(가정!$B$7=1,가정!$B$5,0)</f>
        <v>12102000</v>
      </c>
      <c r="J133" s="7" t="n">
        <f aca="false">MAX(0,I133)*가정!$B$6</f>
        <v>10891800</v>
      </c>
      <c r="K133" s="7" t="n">
        <f aca="false">가정!$B$5+J133</f>
        <v>14891800</v>
      </c>
      <c r="L133" s="7" t="n">
        <f aca="false">H133-K133</f>
        <v>1210200</v>
      </c>
      <c r="M133" s="8" t="n">
        <f aca="false">IF(B133=0,0,K133/B133)</f>
        <v>0.401179956896552</v>
      </c>
      <c r="N133" s="7" t="n">
        <f aca="false">K133/가정!$B$8</f>
        <v>74459</v>
      </c>
      <c r="O133" s="7" t="n">
        <f aca="false">IF(I133&gt;0,A133,"")</f>
        <v>128</v>
      </c>
      <c r="P133" s="7" t="n">
        <f aca="false">IF(L133&gt;=0,A133,"")</f>
        <v>128</v>
      </c>
      <c r="Q133" s="7" t="n">
        <f aca="false">IF(K133&gt;=가정!$B$32,A133,"")</f>
        <v>128</v>
      </c>
      <c r="R133" s="7" t="str">
        <f aca="false">IF(MAX(0,I133)*(1-가정!$B$6)*'1억 상환'!$B$6&gt;='1억 상환'!$B$5,A133,"")</f>
        <v/>
      </c>
    </row>
    <row r="134" customFormat="false" ht="15" hidden="false" customHeight="false" outlineLevel="0" collapsed="false">
      <c r="A134" s="7" t="n">
        <v>129</v>
      </c>
      <c r="B134" s="7" t="n">
        <f aca="false">A134*가정!$B$10</f>
        <v>37410000</v>
      </c>
      <c r="C134" s="7" t="n">
        <f aca="false">가정!$B$34</f>
        <v>3590000</v>
      </c>
      <c r="D134" s="7" t="n">
        <f aca="false">ROUNDUP(MAX(0,A134-가정!$B$18)/가정!$B$19,0)</f>
        <v>3</v>
      </c>
      <c r="E134" s="7" t="n">
        <f aca="false">D134*가정!$B$20+ROUNDUP(A134/가정!$B$22,0)*가정!$B$21+ROUNDUP(A134/가정!$B$24,0)*가정!$B$23</f>
        <v>17300000</v>
      </c>
      <c r="F134" s="7" t="n">
        <f aca="false">A134*가정!$B$26+B134*가정!$B$27</f>
        <v>129000</v>
      </c>
      <c r="G134" s="7" t="n">
        <f aca="false">B134*가정!$B$28</f>
        <v>0</v>
      </c>
      <c r="H134" s="7" t="n">
        <f aca="false">B134-C134-E134-F134-G134</f>
        <v>16391000</v>
      </c>
      <c r="I134" s="7" t="n">
        <f aca="false">H134-IF(가정!$B$7=1,가정!$B$5,0)</f>
        <v>12391000</v>
      </c>
      <c r="J134" s="7" t="n">
        <f aca="false">MAX(0,I134)*가정!$B$6</f>
        <v>11151900</v>
      </c>
      <c r="K134" s="7" t="n">
        <f aca="false">가정!$B$5+J134</f>
        <v>15151900</v>
      </c>
      <c r="L134" s="7" t="n">
        <f aca="false">H134-K134</f>
        <v>1239100</v>
      </c>
      <c r="M134" s="8" t="n">
        <f aca="false">IF(B134=0,0,K134/B134)</f>
        <v>0.405022721197541</v>
      </c>
      <c r="N134" s="7" t="n">
        <f aca="false">K134/가정!$B$8</f>
        <v>75759.5</v>
      </c>
      <c r="O134" s="7" t="n">
        <f aca="false">IF(I134&gt;0,A134,"")</f>
        <v>129</v>
      </c>
      <c r="P134" s="7" t="n">
        <f aca="false">IF(L134&gt;=0,A134,"")</f>
        <v>129</v>
      </c>
      <c r="Q134" s="7" t="n">
        <f aca="false">IF(K134&gt;=가정!$B$32,A134,"")</f>
        <v>129</v>
      </c>
      <c r="R134" s="7" t="str">
        <f aca="false">IF(MAX(0,I134)*(1-가정!$B$6)*'1억 상환'!$B$6&gt;='1억 상환'!$B$5,A134,"")</f>
        <v/>
      </c>
    </row>
    <row r="135" customFormat="false" ht="15" hidden="false" customHeight="false" outlineLevel="0" collapsed="false">
      <c r="A135" s="7" t="n">
        <v>130</v>
      </c>
      <c r="B135" s="7" t="n">
        <f aca="false">A135*가정!$B$10</f>
        <v>37700000</v>
      </c>
      <c r="C135" s="7" t="n">
        <f aca="false">가정!$B$34</f>
        <v>3590000</v>
      </c>
      <c r="D135" s="7" t="n">
        <f aca="false">ROUNDUP(MAX(0,A135-가정!$B$18)/가정!$B$19,0)</f>
        <v>3</v>
      </c>
      <c r="E135" s="7" t="n">
        <f aca="false">D135*가정!$B$20+ROUNDUP(A135/가정!$B$22,0)*가정!$B$21+ROUNDUP(A135/가정!$B$24,0)*가정!$B$23</f>
        <v>17300000</v>
      </c>
      <c r="F135" s="7" t="n">
        <f aca="false">A135*가정!$B$26+B135*가정!$B$27</f>
        <v>130000</v>
      </c>
      <c r="G135" s="7" t="n">
        <f aca="false">B135*가정!$B$28</f>
        <v>0</v>
      </c>
      <c r="H135" s="7" t="n">
        <f aca="false">B135-C135-E135-F135-G135</f>
        <v>16680000</v>
      </c>
      <c r="I135" s="7" t="n">
        <f aca="false">H135-IF(가정!$B$7=1,가정!$B$5,0)</f>
        <v>12680000</v>
      </c>
      <c r="J135" s="7" t="n">
        <f aca="false">MAX(0,I135)*가정!$B$6</f>
        <v>11412000</v>
      </c>
      <c r="K135" s="7" t="n">
        <f aca="false">가정!$B$5+J135</f>
        <v>15412000</v>
      </c>
      <c r="L135" s="7" t="n">
        <f aca="false">H135-K135</f>
        <v>1268000</v>
      </c>
      <c r="M135" s="8" t="n">
        <f aca="false">IF(B135=0,0,K135/B135)</f>
        <v>0.408806366047745</v>
      </c>
      <c r="N135" s="7" t="n">
        <f aca="false">K135/가정!$B$8</f>
        <v>77060</v>
      </c>
      <c r="O135" s="7" t="n">
        <f aca="false">IF(I135&gt;0,A135,"")</f>
        <v>130</v>
      </c>
      <c r="P135" s="7" t="n">
        <f aca="false">IF(L135&gt;=0,A135,"")</f>
        <v>130</v>
      </c>
      <c r="Q135" s="7" t="n">
        <f aca="false">IF(K135&gt;=가정!$B$32,A135,"")</f>
        <v>130</v>
      </c>
      <c r="R135" s="7" t="str">
        <f aca="false">IF(MAX(0,I135)*(1-가정!$B$6)*'1억 상환'!$B$6&gt;='1억 상환'!$B$5,A135,"")</f>
        <v/>
      </c>
    </row>
    <row r="136" customFormat="false" ht="15" hidden="false" customHeight="false" outlineLevel="0" collapsed="false">
      <c r="A136" s="7" t="n">
        <v>131</v>
      </c>
      <c r="B136" s="7" t="n">
        <f aca="false">A136*가정!$B$10</f>
        <v>37990000</v>
      </c>
      <c r="C136" s="7" t="n">
        <f aca="false">가정!$B$34</f>
        <v>3590000</v>
      </c>
      <c r="D136" s="7" t="n">
        <f aca="false">ROUNDUP(MAX(0,A136-가정!$B$18)/가정!$B$19,0)</f>
        <v>3</v>
      </c>
      <c r="E136" s="7" t="n">
        <f aca="false">D136*가정!$B$20+ROUNDUP(A136/가정!$B$22,0)*가정!$B$21+ROUNDUP(A136/가정!$B$24,0)*가정!$B$23</f>
        <v>17300000</v>
      </c>
      <c r="F136" s="7" t="n">
        <f aca="false">A136*가정!$B$26+B136*가정!$B$27</f>
        <v>131000</v>
      </c>
      <c r="G136" s="7" t="n">
        <f aca="false">B136*가정!$B$28</f>
        <v>0</v>
      </c>
      <c r="H136" s="7" t="n">
        <f aca="false">B136-C136-E136-F136-G136</f>
        <v>16969000</v>
      </c>
      <c r="I136" s="7" t="n">
        <f aca="false">H136-IF(가정!$B$7=1,가정!$B$5,0)</f>
        <v>12969000</v>
      </c>
      <c r="J136" s="7" t="n">
        <f aca="false">MAX(0,I136)*가정!$B$6</f>
        <v>11672100</v>
      </c>
      <c r="K136" s="7" t="n">
        <f aca="false">가정!$B$5+J136</f>
        <v>15672100</v>
      </c>
      <c r="L136" s="7" t="n">
        <f aca="false">H136-K136</f>
        <v>1296900</v>
      </c>
      <c r="M136" s="8" t="n">
        <f aca="false">IF(B136=0,0,K136/B136)</f>
        <v>0.412532245327718</v>
      </c>
      <c r="N136" s="7" t="n">
        <f aca="false">K136/가정!$B$8</f>
        <v>78360.5</v>
      </c>
      <c r="O136" s="7" t="n">
        <f aca="false">IF(I136&gt;0,A136,"")</f>
        <v>131</v>
      </c>
      <c r="P136" s="7" t="n">
        <f aca="false">IF(L136&gt;=0,A136,"")</f>
        <v>131</v>
      </c>
      <c r="Q136" s="7" t="n">
        <f aca="false">IF(K136&gt;=가정!$B$32,A136,"")</f>
        <v>131</v>
      </c>
      <c r="R136" s="7" t="str">
        <f aca="false">IF(MAX(0,I136)*(1-가정!$B$6)*'1억 상환'!$B$6&gt;='1억 상환'!$B$5,A136,"")</f>
        <v/>
      </c>
    </row>
    <row r="137" customFormat="false" ht="15" hidden="false" customHeight="false" outlineLevel="0" collapsed="false">
      <c r="A137" s="7" t="n">
        <v>132</v>
      </c>
      <c r="B137" s="7" t="n">
        <f aca="false">A137*가정!$B$10</f>
        <v>38280000</v>
      </c>
      <c r="C137" s="7" t="n">
        <f aca="false">가정!$B$34</f>
        <v>3590000</v>
      </c>
      <c r="D137" s="7" t="n">
        <f aca="false">ROUNDUP(MAX(0,A137-가정!$B$18)/가정!$B$19,0)</f>
        <v>3</v>
      </c>
      <c r="E137" s="7" t="n">
        <f aca="false">D137*가정!$B$20+ROUNDUP(A137/가정!$B$22,0)*가정!$B$21+ROUNDUP(A137/가정!$B$24,0)*가정!$B$23</f>
        <v>17300000</v>
      </c>
      <c r="F137" s="7" t="n">
        <f aca="false">A137*가정!$B$26+B137*가정!$B$27</f>
        <v>132000</v>
      </c>
      <c r="G137" s="7" t="n">
        <f aca="false">B137*가정!$B$28</f>
        <v>0</v>
      </c>
      <c r="H137" s="7" t="n">
        <f aca="false">B137-C137-E137-F137-G137</f>
        <v>17258000</v>
      </c>
      <c r="I137" s="7" t="n">
        <f aca="false">H137-IF(가정!$B$7=1,가정!$B$5,0)</f>
        <v>13258000</v>
      </c>
      <c r="J137" s="7" t="n">
        <f aca="false">MAX(0,I137)*가정!$B$6</f>
        <v>11932200</v>
      </c>
      <c r="K137" s="7" t="n">
        <f aca="false">가정!$B$5+J137</f>
        <v>15932200</v>
      </c>
      <c r="L137" s="7" t="n">
        <f aca="false">H137-K137</f>
        <v>1325800</v>
      </c>
      <c r="M137" s="8" t="n">
        <f aca="false">IF(B137=0,0,K137/B137)</f>
        <v>0.416201671891327</v>
      </c>
      <c r="N137" s="7" t="n">
        <f aca="false">K137/가정!$B$8</f>
        <v>79661</v>
      </c>
      <c r="O137" s="7" t="n">
        <f aca="false">IF(I137&gt;0,A137,"")</f>
        <v>132</v>
      </c>
      <c r="P137" s="7" t="n">
        <f aca="false">IF(L137&gt;=0,A137,"")</f>
        <v>132</v>
      </c>
      <c r="Q137" s="7" t="n">
        <f aca="false">IF(K137&gt;=가정!$B$32,A137,"")</f>
        <v>132</v>
      </c>
      <c r="R137" s="7" t="str">
        <f aca="false">IF(MAX(0,I137)*(1-가정!$B$6)*'1억 상환'!$B$6&gt;='1억 상환'!$B$5,A137,"")</f>
        <v/>
      </c>
    </row>
    <row r="138" customFormat="false" ht="15" hidden="false" customHeight="false" outlineLevel="0" collapsed="false">
      <c r="A138" s="7" t="n">
        <v>133</v>
      </c>
      <c r="B138" s="7" t="n">
        <f aca="false">A138*가정!$B$10</f>
        <v>38570000</v>
      </c>
      <c r="C138" s="7" t="n">
        <f aca="false">가정!$B$34</f>
        <v>3590000</v>
      </c>
      <c r="D138" s="7" t="n">
        <f aca="false">ROUNDUP(MAX(0,A138-가정!$B$18)/가정!$B$19,0)</f>
        <v>3</v>
      </c>
      <c r="E138" s="7" t="n">
        <f aca="false">D138*가정!$B$20+ROUNDUP(A138/가정!$B$22,0)*가정!$B$21+ROUNDUP(A138/가정!$B$24,0)*가정!$B$23</f>
        <v>17300000</v>
      </c>
      <c r="F138" s="7" t="n">
        <f aca="false">A138*가정!$B$26+B138*가정!$B$27</f>
        <v>133000</v>
      </c>
      <c r="G138" s="7" t="n">
        <f aca="false">B138*가정!$B$28</f>
        <v>0</v>
      </c>
      <c r="H138" s="7" t="n">
        <f aca="false">B138-C138-E138-F138-G138</f>
        <v>17547000</v>
      </c>
      <c r="I138" s="7" t="n">
        <f aca="false">H138-IF(가정!$B$7=1,가정!$B$5,0)</f>
        <v>13547000</v>
      </c>
      <c r="J138" s="7" t="n">
        <f aca="false">MAX(0,I138)*가정!$B$6</f>
        <v>12192300</v>
      </c>
      <c r="K138" s="7" t="n">
        <f aca="false">가정!$B$5+J138</f>
        <v>16192300</v>
      </c>
      <c r="L138" s="7" t="n">
        <f aca="false">H138-K138</f>
        <v>1354700</v>
      </c>
      <c r="M138" s="8" t="n">
        <f aca="false">IF(B138=0,0,K138/B138)</f>
        <v>0.419815919108115</v>
      </c>
      <c r="N138" s="7" t="n">
        <f aca="false">K138/가정!$B$8</f>
        <v>80961.5</v>
      </c>
      <c r="O138" s="7" t="n">
        <f aca="false">IF(I138&gt;0,A138,"")</f>
        <v>133</v>
      </c>
      <c r="P138" s="7" t="n">
        <f aca="false">IF(L138&gt;=0,A138,"")</f>
        <v>133</v>
      </c>
      <c r="Q138" s="7" t="n">
        <f aca="false">IF(K138&gt;=가정!$B$32,A138,"")</f>
        <v>133</v>
      </c>
      <c r="R138" s="7" t="str">
        <f aca="false">IF(MAX(0,I138)*(1-가정!$B$6)*'1억 상환'!$B$6&gt;='1억 상환'!$B$5,A138,"")</f>
        <v/>
      </c>
    </row>
    <row r="139" customFormat="false" ht="15" hidden="false" customHeight="false" outlineLevel="0" collapsed="false">
      <c r="A139" s="7" t="n">
        <v>134</v>
      </c>
      <c r="B139" s="7" t="n">
        <f aca="false">A139*가정!$B$10</f>
        <v>38860000</v>
      </c>
      <c r="C139" s="7" t="n">
        <f aca="false">가정!$B$34</f>
        <v>3590000</v>
      </c>
      <c r="D139" s="7" t="n">
        <f aca="false">ROUNDUP(MAX(0,A139-가정!$B$18)/가정!$B$19,0)</f>
        <v>3</v>
      </c>
      <c r="E139" s="7" t="n">
        <f aca="false">D139*가정!$B$20+ROUNDUP(A139/가정!$B$22,0)*가정!$B$21+ROUNDUP(A139/가정!$B$24,0)*가정!$B$23</f>
        <v>17300000</v>
      </c>
      <c r="F139" s="7" t="n">
        <f aca="false">A139*가정!$B$26+B139*가정!$B$27</f>
        <v>134000</v>
      </c>
      <c r="G139" s="7" t="n">
        <f aca="false">B139*가정!$B$28</f>
        <v>0</v>
      </c>
      <c r="H139" s="7" t="n">
        <f aca="false">B139-C139-E139-F139-G139</f>
        <v>17836000</v>
      </c>
      <c r="I139" s="7" t="n">
        <f aca="false">H139-IF(가정!$B$7=1,가정!$B$5,0)</f>
        <v>13836000</v>
      </c>
      <c r="J139" s="7" t="n">
        <f aca="false">MAX(0,I139)*가정!$B$6</f>
        <v>12452400</v>
      </c>
      <c r="K139" s="7" t="n">
        <f aca="false">가정!$B$5+J139</f>
        <v>16452400</v>
      </c>
      <c r="L139" s="7" t="n">
        <f aca="false">H139-K139</f>
        <v>1383600</v>
      </c>
      <c r="M139" s="8" t="n">
        <f aca="false">IF(B139=0,0,K139/B139)</f>
        <v>0.423376222336593</v>
      </c>
      <c r="N139" s="7" t="n">
        <f aca="false">K139/가정!$B$8</f>
        <v>82262</v>
      </c>
      <c r="O139" s="7" t="n">
        <f aca="false">IF(I139&gt;0,A139,"")</f>
        <v>134</v>
      </c>
      <c r="P139" s="7" t="n">
        <f aca="false">IF(L139&gt;=0,A139,"")</f>
        <v>134</v>
      </c>
      <c r="Q139" s="7" t="n">
        <f aca="false">IF(K139&gt;=가정!$B$32,A139,"")</f>
        <v>134</v>
      </c>
      <c r="R139" s="7" t="str">
        <f aca="false">IF(MAX(0,I139)*(1-가정!$B$6)*'1억 상환'!$B$6&gt;='1억 상환'!$B$5,A139,"")</f>
        <v/>
      </c>
    </row>
    <row r="140" customFormat="false" ht="15" hidden="false" customHeight="false" outlineLevel="0" collapsed="false">
      <c r="A140" s="7" t="n">
        <v>135</v>
      </c>
      <c r="B140" s="7" t="n">
        <f aca="false">A140*가정!$B$10</f>
        <v>39150000</v>
      </c>
      <c r="C140" s="7" t="n">
        <f aca="false">가정!$B$34</f>
        <v>3590000</v>
      </c>
      <c r="D140" s="7" t="n">
        <f aca="false">ROUNDUP(MAX(0,A140-가정!$B$18)/가정!$B$19,0)</f>
        <v>3</v>
      </c>
      <c r="E140" s="7" t="n">
        <f aca="false">D140*가정!$B$20+ROUNDUP(A140/가정!$B$22,0)*가정!$B$21+ROUNDUP(A140/가정!$B$24,0)*가정!$B$23</f>
        <v>17300000</v>
      </c>
      <c r="F140" s="7" t="n">
        <f aca="false">A140*가정!$B$26+B140*가정!$B$27</f>
        <v>135000</v>
      </c>
      <c r="G140" s="7" t="n">
        <f aca="false">B140*가정!$B$28</f>
        <v>0</v>
      </c>
      <c r="H140" s="7" t="n">
        <f aca="false">B140-C140-E140-F140-G140</f>
        <v>18125000</v>
      </c>
      <c r="I140" s="7" t="n">
        <f aca="false">H140-IF(가정!$B$7=1,가정!$B$5,0)</f>
        <v>14125000</v>
      </c>
      <c r="J140" s="7" t="n">
        <f aca="false">MAX(0,I140)*가정!$B$6</f>
        <v>12712500</v>
      </c>
      <c r="K140" s="7" t="n">
        <f aca="false">가정!$B$5+J140</f>
        <v>16712500</v>
      </c>
      <c r="L140" s="7" t="n">
        <f aca="false">H140-K140</f>
        <v>1412500</v>
      </c>
      <c r="M140" s="8" t="n">
        <f aca="false">IF(B140=0,0,K140/B140)</f>
        <v>0.426883780332056</v>
      </c>
      <c r="N140" s="7" t="n">
        <f aca="false">K140/가정!$B$8</f>
        <v>83562.5</v>
      </c>
      <c r="O140" s="7" t="n">
        <f aca="false">IF(I140&gt;0,A140,"")</f>
        <v>135</v>
      </c>
      <c r="P140" s="7" t="n">
        <f aca="false">IF(L140&gt;=0,A140,"")</f>
        <v>135</v>
      </c>
      <c r="Q140" s="7" t="n">
        <f aca="false">IF(K140&gt;=가정!$B$32,A140,"")</f>
        <v>135</v>
      </c>
      <c r="R140" s="7" t="str">
        <f aca="false">IF(MAX(0,I140)*(1-가정!$B$6)*'1억 상환'!$B$6&gt;='1억 상환'!$B$5,A140,"")</f>
        <v/>
      </c>
    </row>
    <row r="141" customFormat="false" ht="15" hidden="false" customHeight="false" outlineLevel="0" collapsed="false">
      <c r="A141" s="7" t="n">
        <v>136</v>
      </c>
      <c r="B141" s="7" t="n">
        <f aca="false">A141*가정!$B$10</f>
        <v>39440000</v>
      </c>
      <c r="C141" s="7" t="n">
        <f aca="false">가정!$B$34</f>
        <v>3590000</v>
      </c>
      <c r="D141" s="7" t="n">
        <f aca="false">ROUNDUP(MAX(0,A141-가정!$B$18)/가정!$B$19,0)</f>
        <v>3</v>
      </c>
      <c r="E141" s="7" t="n">
        <f aca="false">D141*가정!$B$20+ROUNDUP(A141/가정!$B$22,0)*가정!$B$21+ROUNDUP(A141/가정!$B$24,0)*가정!$B$23</f>
        <v>17300000</v>
      </c>
      <c r="F141" s="7" t="n">
        <f aca="false">A141*가정!$B$26+B141*가정!$B$27</f>
        <v>136000</v>
      </c>
      <c r="G141" s="7" t="n">
        <f aca="false">B141*가정!$B$28</f>
        <v>0</v>
      </c>
      <c r="H141" s="7" t="n">
        <f aca="false">B141-C141-E141-F141-G141</f>
        <v>18414000</v>
      </c>
      <c r="I141" s="7" t="n">
        <f aca="false">H141-IF(가정!$B$7=1,가정!$B$5,0)</f>
        <v>14414000</v>
      </c>
      <c r="J141" s="7" t="n">
        <f aca="false">MAX(0,I141)*가정!$B$6</f>
        <v>12972600</v>
      </c>
      <c r="K141" s="7" t="n">
        <f aca="false">가정!$B$5+J141</f>
        <v>16972600</v>
      </c>
      <c r="L141" s="7" t="n">
        <f aca="false">H141-K141</f>
        <v>1441400</v>
      </c>
      <c r="M141" s="8" t="n">
        <f aca="false">IF(B141=0,0,K141/B141)</f>
        <v>0.430339756592292</v>
      </c>
      <c r="N141" s="7" t="n">
        <f aca="false">K141/가정!$B$8</f>
        <v>84863</v>
      </c>
      <c r="O141" s="7" t="n">
        <f aca="false">IF(I141&gt;0,A141,"")</f>
        <v>136</v>
      </c>
      <c r="P141" s="7" t="n">
        <f aca="false">IF(L141&gt;=0,A141,"")</f>
        <v>136</v>
      </c>
      <c r="Q141" s="7" t="n">
        <f aca="false">IF(K141&gt;=가정!$B$32,A141,"")</f>
        <v>136</v>
      </c>
      <c r="R141" s="7" t="str">
        <f aca="false">IF(MAX(0,I141)*(1-가정!$B$6)*'1억 상환'!$B$6&gt;='1억 상환'!$B$5,A141,"")</f>
        <v/>
      </c>
    </row>
    <row r="142" customFormat="false" ht="15" hidden="false" customHeight="false" outlineLevel="0" collapsed="false">
      <c r="A142" s="7" t="n">
        <v>137</v>
      </c>
      <c r="B142" s="7" t="n">
        <f aca="false">A142*가정!$B$10</f>
        <v>39730000</v>
      </c>
      <c r="C142" s="7" t="n">
        <f aca="false">가정!$B$34</f>
        <v>3590000</v>
      </c>
      <c r="D142" s="7" t="n">
        <f aca="false">ROUNDUP(MAX(0,A142-가정!$B$18)/가정!$B$19,0)</f>
        <v>3</v>
      </c>
      <c r="E142" s="7" t="n">
        <f aca="false">D142*가정!$B$20+ROUNDUP(A142/가정!$B$22,0)*가정!$B$21+ROUNDUP(A142/가정!$B$24,0)*가정!$B$23</f>
        <v>17300000</v>
      </c>
      <c r="F142" s="7" t="n">
        <f aca="false">A142*가정!$B$26+B142*가정!$B$27</f>
        <v>137000</v>
      </c>
      <c r="G142" s="7" t="n">
        <f aca="false">B142*가정!$B$28</f>
        <v>0</v>
      </c>
      <c r="H142" s="7" t="n">
        <f aca="false">B142-C142-E142-F142-G142</f>
        <v>18703000</v>
      </c>
      <c r="I142" s="7" t="n">
        <f aca="false">H142-IF(가정!$B$7=1,가정!$B$5,0)</f>
        <v>14703000</v>
      </c>
      <c r="J142" s="7" t="n">
        <f aca="false">MAX(0,I142)*가정!$B$6</f>
        <v>13232700</v>
      </c>
      <c r="K142" s="7" t="n">
        <f aca="false">가정!$B$5+J142</f>
        <v>17232700</v>
      </c>
      <c r="L142" s="7" t="n">
        <f aca="false">H142-K142</f>
        <v>1470300</v>
      </c>
      <c r="M142" s="8" t="n">
        <f aca="false">IF(B142=0,0,K142/B142)</f>
        <v>0.433745280644349</v>
      </c>
      <c r="N142" s="7" t="n">
        <f aca="false">K142/가정!$B$8</f>
        <v>86163.5</v>
      </c>
      <c r="O142" s="7" t="n">
        <f aca="false">IF(I142&gt;0,A142,"")</f>
        <v>137</v>
      </c>
      <c r="P142" s="7" t="n">
        <f aca="false">IF(L142&gt;=0,A142,"")</f>
        <v>137</v>
      </c>
      <c r="Q142" s="7" t="n">
        <f aca="false">IF(K142&gt;=가정!$B$32,A142,"")</f>
        <v>137</v>
      </c>
      <c r="R142" s="7" t="str">
        <f aca="false">IF(MAX(0,I142)*(1-가정!$B$6)*'1억 상환'!$B$6&gt;='1억 상환'!$B$5,A142,"")</f>
        <v/>
      </c>
    </row>
    <row r="143" customFormat="false" ht="15" hidden="false" customHeight="false" outlineLevel="0" collapsed="false">
      <c r="A143" s="7" t="n">
        <v>138</v>
      </c>
      <c r="B143" s="7" t="n">
        <f aca="false">A143*가정!$B$10</f>
        <v>40020000</v>
      </c>
      <c r="C143" s="7" t="n">
        <f aca="false">가정!$B$34</f>
        <v>3590000</v>
      </c>
      <c r="D143" s="7" t="n">
        <f aca="false">ROUNDUP(MAX(0,A143-가정!$B$18)/가정!$B$19,0)</f>
        <v>3</v>
      </c>
      <c r="E143" s="7" t="n">
        <f aca="false">D143*가정!$B$20+ROUNDUP(A143/가정!$B$22,0)*가정!$B$21+ROUNDUP(A143/가정!$B$24,0)*가정!$B$23</f>
        <v>17300000</v>
      </c>
      <c r="F143" s="7" t="n">
        <f aca="false">A143*가정!$B$26+B143*가정!$B$27</f>
        <v>138000</v>
      </c>
      <c r="G143" s="7" t="n">
        <f aca="false">B143*가정!$B$28</f>
        <v>0</v>
      </c>
      <c r="H143" s="7" t="n">
        <f aca="false">B143-C143-E143-F143-G143</f>
        <v>18992000</v>
      </c>
      <c r="I143" s="7" t="n">
        <f aca="false">H143-IF(가정!$B$7=1,가정!$B$5,0)</f>
        <v>14992000</v>
      </c>
      <c r="J143" s="7" t="n">
        <f aca="false">MAX(0,I143)*가정!$B$6</f>
        <v>13492800</v>
      </c>
      <c r="K143" s="7" t="n">
        <f aca="false">가정!$B$5+J143</f>
        <v>17492800</v>
      </c>
      <c r="L143" s="7" t="n">
        <f aca="false">H143-K143</f>
        <v>1499200</v>
      </c>
      <c r="M143" s="8" t="n">
        <f aca="false">IF(B143=0,0,K143/B143)</f>
        <v>0.437101449275362</v>
      </c>
      <c r="N143" s="7" t="n">
        <f aca="false">K143/가정!$B$8</f>
        <v>87464</v>
      </c>
      <c r="O143" s="7" t="n">
        <f aca="false">IF(I143&gt;0,A143,"")</f>
        <v>138</v>
      </c>
      <c r="P143" s="7" t="n">
        <f aca="false">IF(L143&gt;=0,A143,"")</f>
        <v>138</v>
      </c>
      <c r="Q143" s="7" t="n">
        <f aca="false">IF(K143&gt;=가정!$B$32,A143,"")</f>
        <v>138</v>
      </c>
      <c r="R143" s="7" t="str">
        <f aca="false">IF(MAX(0,I143)*(1-가정!$B$6)*'1억 상환'!$B$6&gt;='1억 상환'!$B$5,A143,"")</f>
        <v/>
      </c>
    </row>
    <row r="144" customFormat="false" ht="15" hidden="false" customHeight="false" outlineLevel="0" collapsed="false">
      <c r="A144" s="7" t="n">
        <v>139</v>
      </c>
      <c r="B144" s="7" t="n">
        <f aca="false">A144*가정!$B$10</f>
        <v>40310000</v>
      </c>
      <c r="C144" s="7" t="n">
        <f aca="false">가정!$B$34</f>
        <v>3590000</v>
      </c>
      <c r="D144" s="7" t="n">
        <f aca="false">ROUNDUP(MAX(0,A144-가정!$B$18)/가정!$B$19,0)</f>
        <v>3</v>
      </c>
      <c r="E144" s="7" t="n">
        <f aca="false">D144*가정!$B$20+ROUNDUP(A144/가정!$B$22,0)*가정!$B$21+ROUNDUP(A144/가정!$B$24,0)*가정!$B$23</f>
        <v>17300000</v>
      </c>
      <c r="F144" s="7" t="n">
        <f aca="false">A144*가정!$B$26+B144*가정!$B$27</f>
        <v>139000</v>
      </c>
      <c r="G144" s="7" t="n">
        <f aca="false">B144*가정!$B$28</f>
        <v>0</v>
      </c>
      <c r="H144" s="7" t="n">
        <f aca="false">B144-C144-E144-F144-G144</f>
        <v>19281000</v>
      </c>
      <c r="I144" s="7" t="n">
        <f aca="false">H144-IF(가정!$B$7=1,가정!$B$5,0)</f>
        <v>15281000</v>
      </c>
      <c r="J144" s="7" t="n">
        <f aca="false">MAX(0,I144)*가정!$B$6</f>
        <v>13752900</v>
      </c>
      <c r="K144" s="7" t="n">
        <f aca="false">가정!$B$5+J144</f>
        <v>17752900</v>
      </c>
      <c r="L144" s="7" t="n">
        <f aca="false">H144-K144</f>
        <v>1528100</v>
      </c>
      <c r="M144" s="8" t="n">
        <f aca="false">IF(B144=0,0,K144/B144)</f>
        <v>0.440409327710246</v>
      </c>
      <c r="N144" s="7" t="n">
        <f aca="false">K144/가정!$B$8</f>
        <v>88764.5</v>
      </c>
      <c r="O144" s="7" t="n">
        <f aca="false">IF(I144&gt;0,A144,"")</f>
        <v>139</v>
      </c>
      <c r="P144" s="7" t="n">
        <f aca="false">IF(L144&gt;=0,A144,"")</f>
        <v>139</v>
      </c>
      <c r="Q144" s="7" t="n">
        <f aca="false">IF(K144&gt;=가정!$B$32,A144,"")</f>
        <v>139</v>
      </c>
      <c r="R144" s="7" t="str">
        <f aca="false">IF(MAX(0,I144)*(1-가정!$B$6)*'1억 상환'!$B$6&gt;='1억 상환'!$B$5,A144,"")</f>
        <v/>
      </c>
    </row>
    <row r="145" customFormat="false" ht="15" hidden="false" customHeight="false" outlineLevel="0" collapsed="false">
      <c r="A145" s="7" t="n">
        <v>140</v>
      </c>
      <c r="B145" s="7" t="n">
        <f aca="false">A145*가정!$B$10</f>
        <v>40600000</v>
      </c>
      <c r="C145" s="7" t="n">
        <f aca="false">가정!$B$34</f>
        <v>3590000</v>
      </c>
      <c r="D145" s="7" t="n">
        <f aca="false">ROUNDUP(MAX(0,A145-가정!$B$18)/가정!$B$19,0)</f>
        <v>3</v>
      </c>
      <c r="E145" s="7" t="n">
        <f aca="false">D145*가정!$B$20+ROUNDUP(A145/가정!$B$22,0)*가정!$B$21+ROUNDUP(A145/가정!$B$24,0)*가정!$B$23</f>
        <v>17300000</v>
      </c>
      <c r="F145" s="7" t="n">
        <f aca="false">A145*가정!$B$26+B145*가정!$B$27</f>
        <v>140000</v>
      </c>
      <c r="G145" s="7" t="n">
        <f aca="false">B145*가정!$B$28</f>
        <v>0</v>
      </c>
      <c r="H145" s="7" t="n">
        <f aca="false">B145-C145-E145-F145-G145</f>
        <v>19570000</v>
      </c>
      <c r="I145" s="7" t="n">
        <f aca="false">H145-IF(가정!$B$7=1,가정!$B$5,0)</f>
        <v>15570000</v>
      </c>
      <c r="J145" s="7" t="n">
        <f aca="false">MAX(0,I145)*가정!$B$6</f>
        <v>14013000</v>
      </c>
      <c r="K145" s="7" t="n">
        <f aca="false">가정!$B$5+J145</f>
        <v>18013000</v>
      </c>
      <c r="L145" s="7" t="n">
        <f aca="false">H145-K145</f>
        <v>1557000</v>
      </c>
      <c r="M145" s="8" t="n">
        <f aca="false">IF(B145=0,0,K145/B145)</f>
        <v>0.443669950738916</v>
      </c>
      <c r="N145" s="7" t="n">
        <f aca="false">K145/가정!$B$8</f>
        <v>90065</v>
      </c>
      <c r="O145" s="7" t="n">
        <f aca="false">IF(I145&gt;0,A145,"")</f>
        <v>140</v>
      </c>
      <c r="P145" s="7" t="n">
        <f aca="false">IF(L145&gt;=0,A145,"")</f>
        <v>140</v>
      </c>
      <c r="Q145" s="7" t="n">
        <f aca="false">IF(K145&gt;=가정!$B$32,A145,"")</f>
        <v>140</v>
      </c>
      <c r="R145" s="7" t="str">
        <f aca="false">IF(MAX(0,I145)*(1-가정!$B$6)*'1억 상환'!$B$6&gt;='1억 상환'!$B$5,A145,"")</f>
        <v/>
      </c>
    </row>
    <row r="146" customFormat="false" ht="15" hidden="false" customHeight="false" outlineLevel="0" collapsed="false">
      <c r="A146" s="7" t="n">
        <v>141</v>
      </c>
      <c r="B146" s="7" t="n">
        <f aca="false">A146*가정!$B$10</f>
        <v>40890000</v>
      </c>
      <c r="C146" s="7" t="n">
        <f aca="false">가정!$B$34</f>
        <v>3590000</v>
      </c>
      <c r="D146" s="7" t="n">
        <f aca="false">ROUNDUP(MAX(0,A146-가정!$B$18)/가정!$B$19,0)</f>
        <v>3</v>
      </c>
      <c r="E146" s="7" t="n">
        <f aca="false">D146*가정!$B$20+ROUNDUP(A146/가정!$B$22,0)*가정!$B$21+ROUNDUP(A146/가정!$B$24,0)*가정!$B$23</f>
        <v>17300000</v>
      </c>
      <c r="F146" s="7" t="n">
        <f aca="false">A146*가정!$B$26+B146*가정!$B$27</f>
        <v>141000</v>
      </c>
      <c r="G146" s="7" t="n">
        <f aca="false">B146*가정!$B$28</f>
        <v>0</v>
      </c>
      <c r="H146" s="7" t="n">
        <f aca="false">B146-C146-E146-F146-G146</f>
        <v>19859000</v>
      </c>
      <c r="I146" s="7" t="n">
        <f aca="false">H146-IF(가정!$B$7=1,가정!$B$5,0)</f>
        <v>15859000</v>
      </c>
      <c r="J146" s="7" t="n">
        <f aca="false">MAX(0,I146)*가정!$B$6</f>
        <v>14273100</v>
      </c>
      <c r="K146" s="7" t="n">
        <f aca="false">가정!$B$5+J146</f>
        <v>18273100</v>
      </c>
      <c r="L146" s="7" t="n">
        <f aca="false">H146-K146</f>
        <v>1585900</v>
      </c>
      <c r="M146" s="8" t="n">
        <f aca="false">IF(B146=0,0,K146/B146)</f>
        <v>0.446884323795549</v>
      </c>
      <c r="N146" s="7" t="n">
        <f aca="false">K146/가정!$B$8</f>
        <v>91365.5</v>
      </c>
      <c r="O146" s="7" t="n">
        <f aca="false">IF(I146&gt;0,A146,"")</f>
        <v>141</v>
      </c>
      <c r="P146" s="7" t="n">
        <f aca="false">IF(L146&gt;=0,A146,"")</f>
        <v>141</v>
      </c>
      <c r="Q146" s="7" t="n">
        <f aca="false">IF(K146&gt;=가정!$B$32,A146,"")</f>
        <v>141</v>
      </c>
      <c r="R146" s="7" t="str">
        <f aca="false">IF(MAX(0,I146)*(1-가정!$B$6)*'1억 상환'!$B$6&gt;='1억 상환'!$B$5,A146,"")</f>
        <v/>
      </c>
    </row>
    <row r="147" customFormat="false" ht="15" hidden="false" customHeight="false" outlineLevel="0" collapsed="false">
      <c r="A147" s="7" t="n">
        <v>142</v>
      </c>
      <c r="B147" s="7" t="n">
        <f aca="false">A147*가정!$B$10</f>
        <v>41180000</v>
      </c>
      <c r="C147" s="7" t="n">
        <f aca="false">가정!$B$34</f>
        <v>3590000</v>
      </c>
      <c r="D147" s="7" t="n">
        <f aca="false">ROUNDUP(MAX(0,A147-가정!$B$18)/가정!$B$19,0)</f>
        <v>3</v>
      </c>
      <c r="E147" s="7" t="n">
        <f aca="false">D147*가정!$B$20+ROUNDUP(A147/가정!$B$22,0)*가정!$B$21+ROUNDUP(A147/가정!$B$24,0)*가정!$B$23</f>
        <v>17300000</v>
      </c>
      <c r="F147" s="7" t="n">
        <f aca="false">A147*가정!$B$26+B147*가정!$B$27</f>
        <v>142000</v>
      </c>
      <c r="G147" s="7" t="n">
        <f aca="false">B147*가정!$B$28</f>
        <v>0</v>
      </c>
      <c r="H147" s="7" t="n">
        <f aca="false">B147-C147-E147-F147-G147</f>
        <v>20148000</v>
      </c>
      <c r="I147" s="7" t="n">
        <f aca="false">H147-IF(가정!$B$7=1,가정!$B$5,0)</f>
        <v>16148000</v>
      </c>
      <c r="J147" s="7" t="n">
        <f aca="false">MAX(0,I147)*가정!$B$6</f>
        <v>14533200</v>
      </c>
      <c r="K147" s="7" t="n">
        <f aca="false">가정!$B$5+J147</f>
        <v>18533200</v>
      </c>
      <c r="L147" s="7" t="n">
        <f aca="false">H147-K147</f>
        <v>1614800</v>
      </c>
      <c r="M147" s="8" t="n">
        <f aca="false">IF(B147=0,0,K147/B147)</f>
        <v>0.450053423992229</v>
      </c>
      <c r="N147" s="7" t="n">
        <f aca="false">K147/가정!$B$8</f>
        <v>92666</v>
      </c>
      <c r="O147" s="7" t="n">
        <f aca="false">IF(I147&gt;0,A147,"")</f>
        <v>142</v>
      </c>
      <c r="P147" s="7" t="n">
        <f aca="false">IF(L147&gt;=0,A147,"")</f>
        <v>142</v>
      </c>
      <c r="Q147" s="7" t="n">
        <f aca="false">IF(K147&gt;=가정!$B$32,A147,"")</f>
        <v>142</v>
      </c>
      <c r="R147" s="7" t="str">
        <f aca="false">IF(MAX(0,I147)*(1-가정!$B$6)*'1억 상환'!$B$6&gt;='1억 상환'!$B$5,A147,"")</f>
        <v/>
      </c>
    </row>
    <row r="148" customFormat="false" ht="15" hidden="false" customHeight="false" outlineLevel="0" collapsed="false">
      <c r="A148" s="7" t="n">
        <v>143</v>
      </c>
      <c r="B148" s="7" t="n">
        <f aca="false">A148*가정!$B$10</f>
        <v>41470000</v>
      </c>
      <c r="C148" s="7" t="n">
        <f aca="false">가정!$B$34</f>
        <v>3590000</v>
      </c>
      <c r="D148" s="7" t="n">
        <f aca="false">ROUNDUP(MAX(0,A148-가정!$B$18)/가정!$B$19,0)</f>
        <v>3</v>
      </c>
      <c r="E148" s="7" t="n">
        <f aca="false">D148*가정!$B$20+ROUNDUP(A148/가정!$B$22,0)*가정!$B$21+ROUNDUP(A148/가정!$B$24,0)*가정!$B$23</f>
        <v>17300000</v>
      </c>
      <c r="F148" s="7" t="n">
        <f aca="false">A148*가정!$B$26+B148*가정!$B$27</f>
        <v>143000</v>
      </c>
      <c r="G148" s="7" t="n">
        <f aca="false">B148*가정!$B$28</f>
        <v>0</v>
      </c>
      <c r="H148" s="7" t="n">
        <f aca="false">B148-C148-E148-F148-G148</f>
        <v>20437000</v>
      </c>
      <c r="I148" s="7" t="n">
        <f aca="false">H148-IF(가정!$B$7=1,가정!$B$5,0)</f>
        <v>16437000</v>
      </c>
      <c r="J148" s="7" t="n">
        <f aca="false">MAX(0,I148)*가정!$B$6</f>
        <v>14793300</v>
      </c>
      <c r="K148" s="7" t="n">
        <f aca="false">가정!$B$5+J148</f>
        <v>18793300</v>
      </c>
      <c r="L148" s="7" t="n">
        <f aca="false">H148-K148</f>
        <v>1643700</v>
      </c>
      <c r="M148" s="8" t="n">
        <f aca="false">IF(B148=0,0,K148/B148)</f>
        <v>0.453178201109236</v>
      </c>
      <c r="N148" s="7" t="n">
        <f aca="false">K148/가정!$B$8</f>
        <v>93966.5</v>
      </c>
      <c r="O148" s="7" t="n">
        <f aca="false">IF(I148&gt;0,A148,"")</f>
        <v>143</v>
      </c>
      <c r="P148" s="7" t="n">
        <f aca="false">IF(L148&gt;=0,A148,"")</f>
        <v>143</v>
      </c>
      <c r="Q148" s="7" t="n">
        <f aca="false">IF(K148&gt;=가정!$B$32,A148,"")</f>
        <v>143</v>
      </c>
      <c r="R148" s="7" t="str">
        <f aca="false">IF(MAX(0,I148)*(1-가정!$B$6)*'1억 상환'!$B$6&gt;='1억 상환'!$B$5,A148,"")</f>
        <v/>
      </c>
    </row>
    <row r="149" customFormat="false" ht="15" hidden="false" customHeight="false" outlineLevel="0" collapsed="false">
      <c r="A149" s="7" t="n">
        <v>144</v>
      </c>
      <c r="B149" s="7" t="n">
        <f aca="false">A149*가정!$B$10</f>
        <v>41760000</v>
      </c>
      <c r="C149" s="7" t="n">
        <f aca="false">가정!$B$34</f>
        <v>3590000</v>
      </c>
      <c r="D149" s="7" t="n">
        <f aca="false">ROUNDUP(MAX(0,A149-가정!$B$18)/가정!$B$19,0)</f>
        <v>3</v>
      </c>
      <c r="E149" s="7" t="n">
        <f aca="false">D149*가정!$B$20+ROUNDUP(A149/가정!$B$22,0)*가정!$B$21+ROUNDUP(A149/가정!$B$24,0)*가정!$B$23</f>
        <v>17300000</v>
      </c>
      <c r="F149" s="7" t="n">
        <f aca="false">A149*가정!$B$26+B149*가정!$B$27</f>
        <v>144000</v>
      </c>
      <c r="G149" s="7" t="n">
        <f aca="false">B149*가정!$B$28</f>
        <v>0</v>
      </c>
      <c r="H149" s="7" t="n">
        <f aca="false">B149-C149-E149-F149-G149</f>
        <v>20726000</v>
      </c>
      <c r="I149" s="7" t="n">
        <f aca="false">H149-IF(가정!$B$7=1,가정!$B$5,0)</f>
        <v>16726000</v>
      </c>
      <c r="J149" s="7" t="n">
        <f aca="false">MAX(0,I149)*가정!$B$6</f>
        <v>15053400</v>
      </c>
      <c r="K149" s="7" t="n">
        <f aca="false">가정!$B$5+J149</f>
        <v>19053400</v>
      </c>
      <c r="L149" s="7" t="n">
        <f aca="false">H149-K149</f>
        <v>1672600</v>
      </c>
      <c r="M149" s="8" t="n">
        <f aca="false">IF(B149=0,0,K149/B149)</f>
        <v>0.456259578544061</v>
      </c>
      <c r="N149" s="7" t="n">
        <f aca="false">K149/가정!$B$8</f>
        <v>95267</v>
      </c>
      <c r="O149" s="7" t="n">
        <f aca="false">IF(I149&gt;0,A149,"")</f>
        <v>144</v>
      </c>
      <c r="P149" s="7" t="n">
        <f aca="false">IF(L149&gt;=0,A149,"")</f>
        <v>144</v>
      </c>
      <c r="Q149" s="7" t="n">
        <f aca="false">IF(K149&gt;=가정!$B$32,A149,"")</f>
        <v>144</v>
      </c>
      <c r="R149" s="7" t="str">
        <f aca="false">IF(MAX(0,I149)*(1-가정!$B$6)*'1억 상환'!$B$6&gt;='1억 상환'!$B$5,A149,"")</f>
        <v/>
      </c>
    </row>
    <row r="150" customFormat="false" ht="15" hidden="false" customHeight="false" outlineLevel="0" collapsed="false">
      <c r="A150" s="7" t="n">
        <v>145</v>
      </c>
      <c r="B150" s="7" t="n">
        <f aca="false">A150*가정!$B$10</f>
        <v>42050000</v>
      </c>
      <c r="C150" s="7" t="n">
        <f aca="false">가정!$B$34</f>
        <v>3590000</v>
      </c>
      <c r="D150" s="7" t="n">
        <f aca="false">ROUNDUP(MAX(0,A150-가정!$B$18)/가정!$B$19,0)</f>
        <v>3</v>
      </c>
      <c r="E150" s="7" t="n">
        <f aca="false">D150*가정!$B$20+ROUNDUP(A150/가정!$B$22,0)*가정!$B$21+ROUNDUP(A150/가정!$B$24,0)*가정!$B$23</f>
        <v>17300000</v>
      </c>
      <c r="F150" s="7" t="n">
        <f aca="false">A150*가정!$B$26+B150*가정!$B$27</f>
        <v>145000</v>
      </c>
      <c r="G150" s="7" t="n">
        <f aca="false">B150*가정!$B$28</f>
        <v>0</v>
      </c>
      <c r="H150" s="7" t="n">
        <f aca="false">B150-C150-E150-F150-G150</f>
        <v>21015000</v>
      </c>
      <c r="I150" s="7" t="n">
        <f aca="false">H150-IF(가정!$B$7=1,가정!$B$5,0)</f>
        <v>17015000</v>
      </c>
      <c r="J150" s="7" t="n">
        <f aca="false">MAX(0,I150)*가정!$B$6</f>
        <v>15313500</v>
      </c>
      <c r="K150" s="7" t="n">
        <f aca="false">가정!$B$5+J150</f>
        <v>19313500</v>
      </c>
      <c r="L150" s="7" t="n">
        <f aca="false">H150-K150</f>
        <v>1701500</v>
      </c>
      <c r="M150" s="8" t="n">
        <f aca="false">IF(B150=0,0,K150/B150)</f>
        <v>0.459298454221165</v>
      </c>
      <c r="N150" s="7" t="n">
        <f aca="false">K150/가정!$B$8</f>
        <v>96567.5</v>
      </c>
      <c r="O150" s="7" t="n">
        <f aca="false">IF(I150&gt;0,A150,"")</f>
        <v>145</v>
      </c>
      <c r="P150" s="7" t="n">
        <f aca="false">IF(L150&gt;=0,A150,"")</f>
        <v>145</v>
      </c>
      <c r="Q150" s="7" t="n">
        <f aca="false">IF(K150&gt;=가정!$B$32,A150,"")</f>
        <v>145</v>
      </c>
      <c r="R150" s="7" t="str">
        <f aca="false">IF(MAX(0,I150)*(1-가정!$B$6)*'1억 상환'!$B$6&gt;='1억 상환'!$B$5,A150,"")</f>
        <v/>
      </c>
    </row>
    <row r="151" customFormat="false" ht="15" hidden="false" customHeight="false" outlineLevel="0" collapsed="false">
      <c r="A151" s="7" t="n">
        <v>146</v>
      </c>
      <c r="B151" s="7" t="n">
        <f aca="false">A151*가정!$B$10</f>
        <v>42340000</v>
      </c>
      <c r="C151" s="7" t="n">
        <f aca="false">가정!$B$34</f>
        <v>3590000</v>
      </c>
      <c r="D151" s="7" t="n">
        <f aca="false">ROUNDUP(MAX(0,A151-가정!$B$18)/가정!$B$19,0)</f>
        <v>3</v>
      </c>
      <c r="E151" s="7" t="n">
        <f aca="false">D151*가정!$B$20+ROUNDUP(A151/가정!$B$22,0)*가정!$B$21+ROUNDUP(A151/가정!$B$24,0)*가정!$B$23</f>
        <v>17300000</v>
      </c>
      <c r="F151" s="7" t="n">
        <f aca="false">A151*가정!$B$26+B151*가정!$B$27</f>
        <v>146000</v>
      </c>
      <c r="G151" s="7" t="n">
        <f aca="false">B151*가정!$B$28</f>
        <v>0</v>
      </c>
      <c r="H151" s="7" t="n">
        <f aca="false">B151-C151-E151-F151-G151</f>
        <v>21304000</v>
      </c>
      <c r="I151" s="7" t="n">
        <f aca="false">H151-IF(가정!$B$7=1,가정!$B$5,0)</f>
        <v>17304000</v>
      </c>
      <c r="J151" s="7" t="n">
        <f aca="false">MAX(0,I151)*가정!$B$6</f>
        <v>15573600</v>
      </c>
      <c r="K151" s="7" t="n">
        <f aca="false">가정!$B$5+J151</f>
        <v>19573600</v>
      </c>
      <c r="L151" s="7" t="n">
        <f aca="false">H151-K151</f>
        <v>1730400</v>
      </c>
      <c r="M151" s="8" t="n">
        <f aca="false">IF(B151=0,0,K151/B151)</f>
        <v>0.462295701464336</v>
      </c>
      <c r="N151" s="7" t="n">
        <f aca="false">K151/가정!$B$8</f>
        <v>97868</v>
      </c>
      <c r="O151" s="7" t="n">
        <f aca="false">IF(I151&gt;0,A151,"")</f>
        <v>146</v>
      </c>
      <c r="P151" s="7" t="n">
        <f aca="false">IF(L151&gt;=0,A151,"")</f>
        <v>146</v>
      </c>
      <c r="Q151" s="7" t="n">
        <f aca="false">IF(K151&gt;=가정!$B$32,A151,"")</f>
        <v>146</v>
      </c>
      <c r="R151" s="7" t="str">
        <f aca="false">IF(MAX(0,I151)*(1-가정!$B$6)*'1억 상환'!$B$6&gt;='1억 상환'!$B$5,A151,"")</f>
        <v/>
      </c>
    </row>
    <row r="152" customFormat="false" ht="15" hidden="false" customHeight="false" outlineLevel="0" collapsed="false">
      <c r="A152" s="7" t="n">
        <v>147</v>
      </c>
      <c r="B152" s="7" t="n">
        <f aca="false">A152*가정!$B$10</f>
        <v>42630000</v>
      </c>
      <c r="C152" s="7" t="n">
        <f aca="false">가정!$B$34</f>
        <v>3590000</v>
      </c>
      <c r="D152" s="7" t="n">
        <f aca="false">ROUNDUP(MAX(0,A152-가정!$B$18)/가정!$B$19,0)</f>
        <v>3</v>
      </c>
      <c r="E152" s="7" t="n">
        <f aca="false">D152*가정!$B$20+ROUNDUP(A152/가정!$B$22,0)*가정!$B$21+ROUNDUP(A152/가정!$B$24,0)*가정!$B$23</f>
        <v>17300000</v>
      </c>
      <c r="F152" s="7" t="n">
        <f aca="false">A152*가정!$B$26+B152*가정!$B$27</f>
        <v>147000</v>
      </c>
      <c r="G152" s="7" t="n">
        <f aca="false">B152*가정!$B$28</f>
        <v>0</v>
      </c>
      <c r="H152" s="7" t="n">
        <f aca="false">B152-C152-E152-F152-G152</f>
        <v>21593000</v>
      </c>
      <c r="I152" s="7" t="n">
        <f aca="false">H152-IF(가정!$B$7=1,가정!$B$5,0)</f>
        <v>17593000</v>
      </c>
      <c r="J152" s="7" t="n">
        <f aca="false">MAX(0,I152)*가정!$B$6</f>
        <v>15833700</v>
      </c>
      <c r="K152" s="7" t="n">
        <f aca="false">가정!$B$5+J152</f>
        <v>19833700</v>
      </c>
      <c r="L152" s="7" t="n">
        <f aca="false">H152-K152</f>
        <v>1759300</v>
      </c>
      <c r="M152" s="8" t="n">
        <f aca="false">IF(B152=0,0,K152/B152)</f>
        <v>0.465252169833451</v>
      </c>
      <c r="N152" s="7" t="n">
        <f aca="false">K152/가정!$B$8</f>
        <v>99168.5</v>
      </c>
      <c r="O152" s="7" t="n">
        <f aca="false">IF(I152&gt;0,A152,"")</f>
        <v>147</v>
      </c>
      <c r="P152" s="7" t="n">
        <f aca="false">IF(L152&gt;=0,A152,"")</f>
        <v>147</v>
      </c>
      <c r="Q152" s="7" t="n">
        <f aca="false">IF(K152&gt;=가정!$B$32,A152,"")</f>
        <v>147</v>
      </c>
      <c r="R152" s="7" t="str">
        <f aca="false">IF(MAX(0,I152)*(1-가정!$B$6)*'1억 상환'!$B$6&gt;='1억 상환'!$B$5,A152,"")</f>
        <v/>
      </c>
    </row>
    <row r="153" customFormat="false" ht="15" hidden="false" customHeight="false" outlineLevel="0" collapsed="false">
      <c r="A153" s="7" t="n">
        <v>148</v>
      </c>
      <c r="B153" s="7" t="n">
        <f aca="false">A153*가정!$B$10</f>
        <v>42920000</v>
      </c>
      <c r="C153" s="7" t="n">
        <f aca="false">가정!$B$34</f>
        <v>3590000</v>
      </c>
      <c r="D153" s="7" t="n">
        <f aca="false">ROUNDUP(MAX(0,A153-가정!$B$18)/가정!$B$19,0)</f>
        <v>3</v>
      </c>
      <c r="E153" s="7" t="n">
        <f aca="false">D153*가정!$B$20+ROUNDUP(A153/가정!$B$22,0)*가정!$B$21+ROUNDUP(A153/가정!$B$24,0)*가정!$B$23</f>
        <v>17300000</v>
      </c>
      <c r="F153" s="7" t="n">
        <f aca="false">A153*가정!$B$26+B153*가정!$B$27</f>
        <v>148000</v>
      </c>
      <c r="G153" s="7" t="n">
        <f aca="false">B153*가정!$B$28</f>
        <v>0</v>
      </c>
      <c r="H153" s="7" t="n">
        <f aca="false">B153-C153-E153-F153-G153</f>
        <v>21882000</v>
      </c>
      <c r="I153" s="7" t="n">
        <f aca="false">H153-IF(가정!$B$7=1,가정!$B$5,0)</f>
        <v>17882000</v>
      </c>
      <c r="J153" s="7" t="n">
        <f aca="false">MAX(0,I153)*가정!$B$6</f>
        <v>16093800</v>
      </c>
      <c r="K153" s="7" t="n">
        <f aca="false">가정!$B$5+J153</f>
        <v>20093800</v>
      </c>
      <c r="L153" s="7" t="n">
        <f aca="false">H153-K153</f>
        <v>1788200</v>
      </c>
      <c r="M153" s="8" t="n">
        <f aca="false">IF(B153=0,0,K153/B153)</f>
        <v>0.468168685927307</v>
      </c>
      <c r="N153" s="7" t="n">
        <f aca="false">K153/가정!$B$8</f>
        <v>100469</v>
      </c>
      <c r="O153" s="7" t="n">
        <f aca="false">IF(I153&gt;0,A153,"")</f>
        <v>148</v>
      </c>
      <c r="P153" s="7" t="n">
        <f aca="false">IF(L153&gt;=0,A153,"")</f>
        <v>148</v>
      </c>
      <c r="Q153" s="7" t="n">
        <f aca="false">IF(K153&gt;=가정!$B$32,A153,"")</f>
        <v>148</v>
      </c>
      <c r="R153" s="7" t="str">
        <f aca="false">IF(MAX(0,I153)*(1-가정!$B$6)*'1억 상환'!$B$6&gt;='1억 상환'!$B$5,A153,"")</f>
        <v/>
      </c>
    </row>
    <row r="154" customFormat="false" ht="15" hidden="false" customHeight="false" outlineLevel="0" collapsed="false">
      <c r="A154" s="7" t="n">
        <v>149</v>
      </c>
      <c r="B154" s="7" t="n">
        <f aca="false">A154*가정!$B$10</f>
        <v>43210000</v>
      </c>
      <c r="C154" s="7" t="n">
        <f aca="false">가정!$B$34</f>
        <v>3590000</v>
      </c>
      <c r="D154" s="7" t="n">
        <f aca="false">ROUNDUP(MAX(0,A154-가정!$B$18)/가정!$B$19,0)</f>
        <v>3</v>
      </c>
      <c r="E154" s="7" t="n">
        <f aca="false">D154*가정!$B$20+ROUNDUP(A154/가정!$B$22,0)*가정!$B$21+ROUNDUP(A154/가정!$B$24,0)*가정!$B$23</f>
        <v>17300000</v>
      </c>
      <c r="F154" s="7" t="n">
        <f aca="false">A154*가정!$B$26+B154*가정!$B$27</f>
        <v>149000</v>
      </c>
      <c r="G154" s="7" t="n">
        <f aca="false">B154*가정!$B$28</f>
        <v>0</v>
      </c>
      <c r="H154" s="7" t="n">
        <f aca="false">B154-C154-E154-F154-G154</f>
        <v>22171000</v>
      </c>
      <c r="I154" s="7" t="n">
        <f aca="false">H154-IF(가정!$B$7=1,가정!$B$5,0)</f>
        <v>18171000</v>
      </c>
      <c r="J154" s="7" t="n">
        <f aca="false">MAX(0,I154)*가정!$B$6</f>
        <v>16353900</v>
      </c>
      <c r="K154" s="7" t="n">
        <f aca="false">가정!$B$5+J154</f>
        <v>20353900</v>
      </c>
      <c r="L154" s="7" t="n">
        <f aca="false">H154-K154</f>
        <v>1817100</v>
      </c>
      <c r="M154" s="8" t="n">
        <f aca="false">IF(B154=0,0,K154/B154)</f>
        <v>0.471046054154131</v>
      </c>
      <c r="N154" s="7" t="n">
        <f aca="false">K154/가정!$B$8</f>
        <v>101769.5</v>
      </c>
      <c r="O154" s="7" t="n">
        <f aca="false">IF(I154&gt;0,A154,"")</f>
        <v>149</v>
      </c>
      <c r="P154" s="7" t="n">
        <f aca="false">IF(L154&gt;=0,A154,"")</f>
        <v>149</v>
      </c>
      <c r="Q154" s="7" t="n">
        <f aca="false">IF(K154&gt;=가정!$B$32,A154,"")</f>
        <v>149</v>
      </c>
      <c r="R154" s="7" t="str">
        <f aca="false">IF(MAX(0,I154)*(1-가정!$B$6)*'1억 상환'!$B$6&gt;='1억 상환'!$B$5,A154,"")</f>
        <v/>
      </c>
    </row>
    <row r="155" customFormat="false" ht="15" hidden="false" customHeight="false" outlineLevel="0" collapsed="false">
      <c r="A155" s="7" t="n">
        <v>150</v>
      </c>
      <c r="B155" s="7" t="n">
        <f aca="false">A155*가정!$B$10</f>
        <v>43500000</v>
      </c>
      <c r="C155" s="7" t="n">
        <f aca="false">가정!$B$34</f>
        <v>3590000</v>
      </c>
      <c r="D155" s="7" t="n">
        <f aca="false">ROUNDUP(MAX(0,A155-가정!$B$18)/가정!$B$19,0)</f>
        <v>3</v>
      </c>
      <c r="E155" s="7" t="n">
        <f aca="false">D155*가정!$B$20+ROUNDUP(A155/가정!$B$22,0)*가정!$B$21+ROUNDUP(A155/가정!$B$24,0)*가정!$B$23</f>
        <v>17300000</v>
      </c>
      <c r="F155" s="7" t="n">
        <f aca="false">A155*가정!$B$26+B155*가정!$B$27</f>
        <v>150000</v>
      </c>
      <c r="G155" s="7" t="n">
        <f aca="false">B155*가정!$B$28</f>
        <v>0</v>
      </c>
      <c r="H155" s="7" t="n">
        <f aca="false">B155-C155-E155-F155-G155</f>
        <v>22460000</v>
      </c>
      <c r="I155" s="7" t="n">
        <f aca="false">H155-IF(가정!$B$7=1,가정!$B$5,0)</f>
        <v>18460000</v>
      </c>
      <c r="J155" s="7" t="n">
        <f aca="false">MAX(0,I155)*가정!$B$6</f>
        <v>16614000</v>
      </c>
      <c r="K155" s="7" t="n">
        <f aca="false">가정!$B$5+J155</f>
        <v>20614000</v>
      </c>
      <c r="L155" s="7" t="n">
        <f aca="false">H155-K155</f>
        <v>1846000</v>
      </c>
      <c r="M155" s="8" t="n">
        <f aca="false">IF(B155=0,0,K155/B155)</f>
        <v>0.473885057471264</v>
      </c>
      <c r="N155" s="7" t="n">
        <f aca="false">K155/가정!$B$8</f>
        <v>103070</v>
      </c>
      <c r="O155" s="7" t="n">
        <f aca="false">IF(I155&gt;0,A155,"")</f>
        <v>150</v>
      </c>
      <c r="P155" s="7" t="n">
        <f aca="false">IF(L155&gt;=0,A155,"")</f>
        <v>150</v>
      </c>
      <c r="Q155" s="7" t="n">
        <f aca="false">IF(K155&gt;=가정!$B$32,A155,"")</f>
        <v>150</v>
      </c>
      <c r="R155" s="7" t="str">
        <f aca="false">IF(MAX(0,I155)*(1-가정!$B$6)*'1억 상환'!$B$6&gt;='1억 상환'!$B$5,A155,"")</f>
        <v/>
      </c>
    </row>
    <row r="156" customFormat="false" ht="15" hidden="false" customHeight="false" outlineLevel="0" collapsed="false">
      <c r="A156" s="7" t="n">
        <v>151</v>
      </c>
      <c r="B156" s="7" t="n">
        <f aca="false">A156*가정!$B$10</f>
        <v>43790000</v>
      </c>
      <c r="C156" s="7" t="n">
        <f aca="false">가정!$B$34</f>
        <v>3590000</v>
      </c>
      <c r="D156" s="7" t="n">
        <f aca="false">ROUNDUP(MAX(0,A156-가정!$B$18)/가정!$B$19,0)</f>
        <v>3</v>
      </c>
      <c r="E156" s="7" t="n">
        <f aca="false">D156*가정!$B$20+ROUNDUP(A156/가정!$B$22,0)*가정!$B$21+ROUNDUP(A156/가정!$B$24,0)*가정!$B$23</f>
        <v>17300000</v>
      </c>
      <c r="F156" s="7" t="n">
        <f aca="false">A156*가정!$B$26+B156*가정!$B$27</f>
        <v>151000</v>
      </c>
      <c r="G156" s="7" t="n">
        <f aca="false">B156*가정!$B$28</f>
        <v>0</v>
      </c>
      <c r="H156" s="7" t="n">
        <f aca="false">B156-C156-E156-F156-G156</f>
        <v>22749000</v>
      </c>
      <c r="I156" s="7" t="n">
        <f aca="false">H156-IF(가정!$B$7=1,가정!$B$5,0)</f>
        <v>18749000</v>
      </c>
      <c r="J156" s="7" t="n">
        <f aca="false">MAX(0,I156)*가정!$B$6</f>
        <v>16874100</v>
      </c>
      <c r="K156" s="7" t="n">
        <f aca="false">가정!$B$5+J156</f>
        <v>20874100</v>
      </c>
      <c r="L156" s="7" t="n">
        <f aca="false">H156-K156</f>
        <v>1874900</v>
      </c>
      <c r="M156" s="8" t="n">
        <f aca="false">IF(B156=0,0,K156/B156)</f>
        <v>0.476686458095456</v>
      </c>
      <c r="N156" s="7" t="n">
        <f aca="false">K156/가정!$B$8</f>
        <v>104370.5</v>
      </c>
      <c r="O156" s="7" t="n">
        <f aca="false">IF(I156&gt;0,A156,"")</f>
        <v>151</v>
      </c>
      <c r="P156" s="7" t="n">
        <f aca="false">IF(L156&gt;=0,A156,"")</f>
        <v>151</v>
      </c>
      <c r="Q156" s="7" t="n">
        <f aca="false">IF(K156&gt;=가정!$B$32,A156,"")</f>
        <v>151</v>
      </c>
      <c r="R156" s="7" t="str">
        <f aca="false">IF(MAX(0,I156)*(1-가정!$B$6)*'1억 상환'!$B$6&gt;='1억 상환'!$B$5,A156,"")</f>
        <v/>
      </c>
    </row>
    <row r="157" customFormat="false" ht="15" hidden="false" customHeight="false" outlineLevel="0" collapsed="false">
      <c r="A157" s="7" t="n">
        <v>152</v>
      </c>
      <c r="B157" s="7" t="n">
        <f aca="false">A157*가정!$B$10</f>
        <v>44080000</v>
      </c>
      <c r="C157" s="7" t="n">
        <f aca="false">가정!$B$34</f>
        <v>3590000</v>
      </c>
      <c r="D157" s="7" t="n">
        <f aca="false">ROUNDUP(MAX(0,A157-가정!$B$18)/가정!$B$19,0)</f>
        <v>3</v>
      </c>
      <c r="E157" s="7" t="n">
        <f aca="false">D157*가정!$B$20+ROUNDUP(A157/가정!$B$22,0)*가정!$B$21+ROUNDUP(A157/가정!$B$24,0)*가정!$B$23</f>
        <v>17300000</v>
      </c>
      <c r="F157" s="7" t="n">
        <f aca="false">A157*가정!$B$26+B157*가정!$B$27</f>
        <v>152000</v>
      </c>
      <c r="G157" s="7" t="n">
        <f aca="false">B157*가정!$B$28</f>
        <v>0</v>
      </c>
      <c r="H157" s="7" t="n">
        <f aca="false">B157-C157-E157-F157-G157</f>
        <v>23038000</v>
      </c>
      <c r="I157" s="7" t="n">
        <f aca="false">H157-IF(가정!$B$7=1,가정!$B$5,0)</f>
        <v>19038000</v>
      </c>
      <c r="J157" s="7" t="n">
        <f aca="false">MAX(0,I157)*가정!$B$6</f>
        <v>17134200</v>
      </c>
      <c r="K157" s="7" t="n">
        <f aca="false">가정!$B$5+J157</f>
        <v>21134200</v>
      </c>
      <c r="L157" s="7" t="n">
        <f aca="false">H157-K157</f>
        <v>1903800</v>
      </c>
      <c r="M157" s="8" t="n">
        <f aca="false">IF(B157=0,0,K157/B157)</f>
        <v>0.479450998185118</v>
      </c>
      <c r="N157" s="7" t="n">
        <f aca="false">K157/가정!$B$8</f>
        <v>105671</v>
      </c>
      <c r="O157" s="7" t="n">
        <f aca="false">IF(I157&gt;0,A157,"")</f>
        <v>152</v>
      </c>
      <c r="P157" s="7" t="n">
        <f aca="false">IF(L157&gt;=0,A157,"")</f>
        <v>152</v>
      </c>
      <c r="Q157" s="7" t="n">
        <f aca="false">IF(K157&gt;=가정!$B$32,A157,"")</f>
        <v>152</v>
      </c>
      <c r="R157" s="7" t="str">
        <f aca="false">IF(MAX(0,I157)*(1-가정!$B$6)*'1억 상환'!$B$6&gt;='1억 상환'!$B$5,A157,"")</f>
        <v/>
      </c>
    </row>
    <row r="158" customFormat="false" ht="15" hidden="false" customHeight="false" outlineLevel="0" collapsed="false">
      <c r="A158" s="7" t="n">
        <v>153</v>
      </c>
      <c r="B158" s="7" t="n">
        <f aca="false">A158*가정!$B$10</f>
        <v>44370000</v>
      </c>
      <c r="C158" s="7" t="n">
        <f aca="false">가정!$B$34</f>
        <v>3590000</v>
      </c>
      <c r="D158" s="7" t="n">
        <f aca="false">ROUNDUP(MAX(0,A158-가정!$B$18)/가정!$B$19,0)</f>
        <v>3</v>
      </c>
      <c r="E158" s="7" t="n">
        <f aca="false">D158*가정!$B$20+ROUNDUP(A158/가정!$B$22,0)*가정!$B$21+ROUNDUP(A158/가정!$B$24,0)*가정!$B$23</f>
        <v>17300000</v>
      </c>
      <c r="F158" s="7" t="n">
        <f aca="false">A158*가정!$B$26+B158*가정!$B$27</f>
        <v>153000</v>
      </c>
      <c r="G158" s="7" t="n">
        <f aca="false">B158*가정!$B$28</f>
        <v>0</v>
      </c>
      <c r="H158" s="7" t="n">
        <f aca="false">B158-C158-E158-F158-G158</f>
        <v>23327000</v>
      </c>
      <c r="I158" s="7" t="n">
        <f aca="false">H158-IF(가정!$B$7=1,가정!$B$5,0)</f>
        <v>19327000</v>
      </c>
      <c r="J158" s="7" t="n">
        <f aca="false">MAX(0,I158)*가정!$B$6</f>
        <v>17394300</v>
      </c>
      <c r="K158" s="7" t="n">
        <f aca="false">가정!$B$5+J158</f>
        <v>21394300</v>
      </c>
      <c r="L158" s="7" t="n">
        <f aca="false">H158-K158</f>
        <v>1932700</v>
      </c>
      <c r="M158" s="8" t="n">
        <f aca="false">IF(B158=0,0,K158/B158)</f>
        <v>0.482179400495831</v>
      </c>
      <c r="N158" s="7" t="n">
        <f aca="false">K158/가정!$B$8</f>
        <v>106971.5</v>
      </c>
      <c r="O158" s="7" t="n">
        <f aca="false">IF(I158&gt;0,A158,"")</f>
        <v>153</v>
      </c>
      <c r="P158" s="7" t="n">
        <f aca="false">IF(L158&gt;=0,A158,"")</f>
        <v>153</v>
      </c>
      <c r="Q158" s="7" t="n">
        <f aca="false">IF(K158&gt;=가정!$B$32,A158,"")</f>
        <v>153</v>
      </c>
      <c r="R158" s="7" t="str">
        <f aca="false">IF(MAX(0,I158)*(1-가정!$B$6)*'1억 상환'!$B$6&gt;='1억 상환'!$B$5,A158,"")</f>
        <v/>
      </c>
    </row>
    <row r="159" customFormat="false" ht="15" hidden="false" customHeight="false" outlineLevel="0" collapsed="false">
      <c r="A159" s="7" t="n">
        <v>154</v>
      </c>
      <c r="B159" s="7" t="n">
        <f aca="false">A159*가정!$B$10</f>
        <v>44660000</v>
      </c>
      <c r="C159" s="7" t="n">
        <f aca="false">가정!$B$34</f>
        <v>3590000</v>
      </c>
      <c r="D159" s="7" t="n">
        <f aca="false">ROUNDUP(MAX(0,A159-가정!$B$18)/가정!$B$19,0)</f>
        <v>3</v>
      </c>
      <c r="E159" s="7" t="n">
        <f aca="false">D159*가정!$B$20+ROUNDUP(A159/가정!$B$22,0)*가정!$B$21+ROUNDUP(A159/가정!$B$24,0)*가정!$B$23</f>
        <v>17300000</v>
      </c>
      <c r="F159" s="7" t="n">
        <f aca="false">A159*가정!$B$26+B159*가정!$B$27</f>
        <v>154000</v>
      </c>
      <c r="G159" s="7" t="n">
        <f aca="false">B159*가정!$B$28</f>
        <v>0</v>
      </c>
      <c r="H159" s="7" t="n">
        <f aca="false">B159-C159-E159-F159-G159</f>
        <v>23616000</v>
      </c>
      <c r="I159" s="7" t="n">
        <f aca="false">H159-IF(가정!$B$7=1,가정!$B$5,0)</f>
        <v>19616000</v>
      </c>
      <c r="J159" s="7" t="n">
        <f aca="false">MAX(0,I159)*가정!$B$6</f>
        <v>17654400</v>
      </c>
      <c r="K159" s="7" t="n">
        <f aca="false">가정!$B$5+J159</f>
        <v>21654400</v>
      </c>
      <c r="L159" s="7" t="n">
        <f aca="false">H159-K159</f>
        <v>1961600</v>
      </c>
      <c r="M159" s="8" t="n">
        <f aca="false">IF(B159=0,0,K159/B159)</f>
        <v>0.4848723690103</v>
      </c>
      <c r="N159" s="7" t="n">
        <f aca="false">K159/가정!$B$8</f>
        <v>108272</v>
      </c>
      <c r="O159" s="7" t="n">
        <f aca="false">IF(I159&gt;0,A159,"")</f>
        <v>154</v>
      </c>
      <c r="P159" s="7" t="n">
        <f aca="false">IF(L159&gt;=0,A159,"")</f>
        <v>154</v>
      </c>
      <c r="Q159" s="7" t="n">
        <f aca="false">IF(K159&gt;=가정!$B$32,A159,"")</f>
        <v>154</v>
      </c>
      <c r="R159" s="7" t="str">
        <f aca="false">IF(MAX(0,I159)*(1-가정!$B$6)*'1억 상환'!$B$6&gt;='1억 상환'!$B$5,A159,"")</f>
        <v/>
      </c>
    </row>
    <row r="160" customFormat="false" ht="15" hidden="false" customHeight="false" outlineLevel="0" collapsed="false">
      <c r="A160" s="7" t="n">
        <v>155</v>
      </c>
      <c r="B160" s="7" t="n">
        <f aca="false">A160*가정!$B$10</f>
        <v>44950000</v>
      </c>
      <c r="C160" s="7" t="n">
        <f aca="false">가정!$B$34</f>
        <v>3590000</v>
      </c>
      <c r="D160" s="7" t="n">
        <f aca="false">ROUNDUP(MAX(0,A160-가정!$B$18)/가정!$B$19,0)</f>
        <v>3</v>
      </c>
      <c r="E160" s="7" t="n">
        <f aca="false">D160*가정!$B$20+ROUNDUP(A160/가정!$B$22,0)*가정!$B$21+ROUNDUP(A160/가정!$B$24,0)*가정!$B$23</f>
        <v>17300000</v>
      </c>
      <c r="F160" s="7" t="n">
        <f aca="false">A160*가정!$B$26+B160*가정!$B$27</f>
        <v>155000</v>
      </c>
      <c r="G160" s="7" t="n">
        <f aca="false">B160*가정!$B$28</f>
        <v>0</v>
      </c>
      <c r="H160" s="7" t="n">
        <f aca="false">B160-C160-E160-F160-G160</f>
        <v>23905000</v>
      </c>
      <c r="I160" s="7" t="n">
        <f aca="false">H160-IF(가정!$B$7=1,가정!$B$5,0)</f>
        <v>19905000</v>
      </c>
      <c r="J160" s="7" t="n">
        <f aca="false">MAX(0,I160)*가정!$B$6</f>
        <v>17914500</v>
      </c>
      <c r="K160" s="7" t="n">
        <f aca="false">가정!$B$5+J160</f>
        <v>21914500</v>
      </c>
      <c r="L160" s="7" t="n">
        <f aca="false">H160-K160</f>
        <v>1990500</v>
      </c>
      <c r="M160" s="8" t="n">
        <f aca="false">IF(B160=0,0,K160/B160)</f>
        <v>0.487530589543938</v>
      </c>
      <c r="N160" s="7" t="n">
        <f aca="false">K160/가정!$B$8</f>
        <v>109572.5</v>
      </c>
      <c r="O160" s="7" t="n">
        <f aca="false">IF(I160&gt;0,A160,"")</f>
        <v>155</v>
      </c>
      <c r="P160" s="7" t="n">
        <f aca="false">IF(L160&gt;=0,A160,"")</f>
        <v>155</v>
      </c>
      <c r="Q160" s="7" t="n">
        <f aca="false">IF(K160&gt;=가정!$B$32,A160,"")</f>
        <v>155</v>
      </c>
      <c r="R160" s="7" t="str">
        <f aca="false">IF(MAX(0,I160)*(1-가정!$B$6)*'1억 상환'!$B$6&gt;='1억 상환'!$B$5,A160,"")</f>
        <v/>
      </c>
    </row>
    <row r="161" customFormat="false" ht="15" hidden="false" customHeight="false" outlineLevel="0" collapsed="false">
      <c r="A161" s="7" t="n">
        <v>156</v>
      </c>
      <c r="B161" s="7" t="n">
        <f aca="false">A161*가정!$B$10</f>
        <v>45240000</v>
      </c>
      <c r="C161" s="7" t="n">
        <f aca="false">가정!$B$34</f>
        <v>3590000</v>
      </c>
      <c r="D161" s="7" t="n">
        <f aca="false">ROUNDUP(MAX(0,A161-가정!$B$18)/가정!$B$19,0)</f>
        <v>3</v>
      </c>
      <c r="E161" s="7" t="n">
        <f aca="false">D161*가정!$B$20+ROUNDUP(A161/가정!$B$22,0)*가정!$B$21+ROUNDUP(A161/가정!$B$24,0)*가정!$B$23</f>
        <v>17300000</v>
      </c>
      <c r="F161" s="7" t="n">
        <f aca="false">A161*가정!$B$26+B161*가정!$B$27</f>
        <v>156000</v>
      </c>
      <c r="G161" s="7" t="n">
        <f aca="false">B161*가정!$B$28</f>
        <v>0</v>
      </c>
      <c r="H161" s="7" t="n">
        <f aca="false">B161-C161-E161-F161-G161</f>
        <v>24194000</v>
      </c>
      <c r="I161" s="7" t="n">
        <f aca="false">H161-IF(가정!$B$7=1,가정!$B$5,0)</f>
        <v>20194000</v>
      </c>
      <c r="J161" s="7" t="n">
        <f aca="false">MAX(0,I161)*가정!$B$6</f>
        <v>18174600</v>
      </c>
      <c r="K161" s="7" t="n">
        <f aca="false">가정!$B$5+J161</f>
        <v>22174600</v>
      </c>
      <c r="L161" s="7" t="n">
        <f aca="false">H161-K161</f>
        <v>2019400</v>
      </c>
      <c r="M161" s="8" t="n">
        <f aca="false">IF(B161=0,0,K161/B161)</f>
        <v>0.490154730327144</v>
      </c>
      <c r="N161" s="7" t="n">
        <f aca="false">K161/가정!$B$8</f>
        <v>110873</v>
      </c>
      <c r="O161" s="7" t="n">
        <f aca="false">IF(I161&gt;0,A161,"")</f>
        <v>156</v>
      </c>
      <c r="P161" s="7" t="n">
        <f aca="false">IF(L161&gt;=0,A161,"")</f>
        <v>156</v>
      </c>
      <c r="Q161" s="7" t="n">
        <f aca="false">IF(K161&gt;=가정!$B$32,A161,"")</f>
        <v>156</v>
      </c>
      <c r="R161" s="7" t="str">
        <f aca="false">IF(MAX(0,I161)*(1-가정!$B$6)*'1억 상환'!$B$6&gt;='1억 상환'!$B$5,A161,"")</f>
        <v/>
      </c>
    </row>
    <row r="162" customFormat="false" ht="15" hidden="false" customHeight="false" outlineLevel="0" collapsed="false">
      <c r="A162" s="7" t="n">
        <v>157</v>
      </c>
      <c r="B162" s="7" t="n">
        <f aca="false">A162*가정!$B$10</f>
        <v>45530000</v>
      </c>
      <c r="C162" s="7" t="n">
        <f aca="false">가정!$B$34</f>
        <v>3590000</v>
      </c>
      <c r="D162" s="7" t="n">
        <f aca="false">ROUNDUP(MAX(0,A162-가정!$B$18)/가정!$B$19,0)</f>
        <v>3</v>
      </c>
      <c r="E162" s="7" t="n">
        <f aca="false">D162*가정!$B$20+ROUNDUP(A162/가정!$B$22,0)*가정!$B$21+ROUNDUP(A162/가정!$B$24,0)*가정!$B$23</f>
        <v>17300000</v>
      </c>
      <c r="F162" s="7" t="n">
        <f aca="false">A162*가정!$B$26+B162*가정!$B$27</f>
        <v>157000</v>
      </c>
      <c r="G162" s="7" t="n">
        <f aca="false">B162*가정!$B$28</f>
        <v>0</v>
      </c>
      <c r="H162" s="7" t="n">
        <f aca="false">B162-C162-E162-F162-G162</f>
        <v>24483000</v>
      </c>
      <c r="I162" s="7" t="n">
        <f aca="false">H162-IF(가정!$B$7=1,가정!$B$5,0)</f>
        <v>20483000</v>
      </c>
      <c r="J162" s="7" t="n">
        <f aca="false">MAX(0,I162)*가정!$B$6</f>
        <v>18434700</v>
      </c>
      <c r="K162" s="7" t="n">
        <f aca="false">가정!$B$5+J162</f>
        <v>22434700</v>
      </c>
      <c r="L162" s="7" t="n">
        <f aca="false">H162-K162</f>
        <v>2048300</v>
      </c>
      <c r="M162" s="8" t="n">
        <f aca="false">IF(B162=0,0,K162/B162)</f>
        <v>0.492745442565342</v>
      </c>
      <c r="N162" s="7" t="n">
        <f aca="false">K162/가정!$B$8</f>
        <v>112173.5</v>
      </c>
      <c r="O162" s="7" t="n">
        <f aca="false">IF(I162&gt;0,A162,"")</f>
        <v>157</v>
      </c>
      <c r="P162" s="7" t="n">
        <f aca="false">IF(L162&gt;=0,A162,"")</f>
        <v>157</v>
      </c>
      <c r="Q162" s="7" t="n">
        <f aca="false">IF(K162&gt;=가정!$B$32,A162,"")</f>
        <v>157</v>
      </c>
      <c r="R162" s="7" t="str">
        <f aca="false">IF(MAX(0,I162)*(1-가정!$B$6)*'1억 상환'!$B$6&gt;='1억 상환'!$B$5,A162,"")</f>
        <v/>
      </c>
    </row>
    <row r="163" customFormat="false" ht="15" hidden="false" customHeight="false" outlineLevel="0" collapsed="false">
      <c r="A163" s="7" t="n">
        <v>158</v>
      </c>
      <c r="B163" s="7" t="n">
        <f aca="false">A163*가정!$B$10</f>
        <v>45820000</v>
      </c>
      <c r="C163" s="7" t="n">
        <f aca="false">가정!$B$34</f>
        <v>3590000</v>
      </c>
      <c r="D163" s="7" t="n">
        <f aca="false">ROUNDUP(MAX(0,A163-가정!$B$18)/가정!$B$19,0)</f>
        <v>3</v>
      </c>
      <c r="E163" s="7" t="n">
        <f aca="false">D163*가정!$B$20+ROUNDUP(A163/가정!$B$22,0)*가정!$B$21+ROUNDUP(A163/가정!$B$24,0)*가정!$B$23</f>
        <v>17300000</v>
      </c>
      <c r="F163" s="7" t="n">
        <f aca="false">A163*가정!$B$26+B163*가정!$B$27</f>
        <v>158000</v>
      </c>
      <c r="G163" s="7" t="n">
        <f aca="false">B163*가정!$B$28</f>
        <v>0</v>
      </c>
      <c r="H163" s="7" t="n">
        <f aca="false">B163-C163-E163-F163-G163</f>
        <v>24772000</v>
      </c>
      <c r="I163" s="7" t="n">
        <f aca="false">H163-IF(가정!$B$7=1,가정!$B$5,0)</f>
        <v>20772000</v>
      </c>
      <c r="J163" s="7" t="n">
        <f aca="false">MAX(0,I163)*가정!$B$6</f>
        <v>18694800</v>
      </c>
      <c r="K163" s="7" t="n">
        <f aca="false">가정!$B$5+J163</f>
        <v>22694800</v>
      </c>
      <c r="L163" s="7" t="n">
        <f aca="false">H163-K163</f>
        <v>2077200</v>
      </c>
      <c r="M163" s="8" t="n">
        <f aca="false">IF(B163=0,0,K163/B163)</f>
        <v>0.495303360977739</v>
      </c>
      <c r="N163" s="7" t="n">
        <f aca="false">K163/가정!$B$8</f>
        <v>113474</v>
      </c>
      <c r="O163" s="7" t="n">
        <f aca="false">IF(I163&gt;0,A163,"")</f>
        <v>158</v>
      </c>
      <c r="P163" s="7" t="n">
        <f aca="false">IF(L163&gt;=0,A163,"")</f>
        <v>158</v>
      </c>
      <c r="Q163" s="7" t="n">
        <f aca="false">IF(K163&gt;=가정!$B$32,A163,"")</f>
        <v>158</v>
      </c>
      <c r="R163" s="7" t="str">
        <f aca="false">IF(MAX(0,I163)*(1-가정!$B$6)*'1억 상환'!$B$6&gt;='1억 상환'!$B$5,A163,"")</f>
        <v/>
      </c>
    </row>
    <row r="164" customFormat="false" ht="15" hidden="false" customHeight="false" outlineLevel="0" collapsed="false">
      <c r="A164" s="7" t="n">
        <v>159</v>
      </c>
      <c r="B164" s="7" t="n">
        <f aca="false">A164*가정!$B$10</f>
        <v>46110000</v>
      </c>
      <c r="C164" s="7" t="n">
        <f aca="false">가정!$B$34</f>
        <v>3590000</v>
      </c>
      <c r="D164" s="7" t="n">
        <f aca="false">ROUNDUP(MAX(0,A164-가정!$B$18)/가정!$B$19,0)</f>
        <v>3</v>
      </c>
      <c r="E164" s="7" t="n">
        <f aca="false">D164*가정!$B$20+ROUNDUP(A164/가정!$B$22,0)*가정!$B$21+ROUNDUP(A164/가정!$B$24,0)*가정!$B$23</f>
        <v>17300000</v>
      </c>
      <c r="F164" s="7" t="n">
        <f aca="false">A164*가정!$B$26+B164*가정!$B$27</f>
        <v>159000</v>
      </c>
      <c r="G164" s="7" t="n">
        <f aca="false">B164*가정!$B$28</f>
        <v>0</v>
      </c>
      <c r="H164" s="7" t="n">
        <f aca="false">B164-C164-E164-F164-G164</f>
        <v>25061000</v>
      </c>
      <c r="I164" s="7" t="n">
        <f aca="false">H164-IF(가정!$B$7=1,가정!$B$5,0)</f>
        <v>21061000</v>
      </c>
      <c r="J164" s="7" t="n">
        <f aca="false">MAX(0,I164)*가정!$B$6</f>
        <v>18954900</v>
      </c>
      <c r="K164" s="7" t="n">
        <f aca="false">가정!$B$5+J164</f>
        <v>22954900</v>
      </c>
      <c r="L164" s="7" t="n">
        <f aca="false">H164-K164</f>
        <v>2106100</v>
      </c>
      <c r="M164" s="8" t="n">
        <f aca="false">IF(B164=0,0,K164/B164)</f>
        <v>0.497829104315767</v>
      </c>
      <c r="N164" s="7" t="n">
        <f aca="false">K164/가정!$B$8</f>
        <v>114774.5</v>
      </c>
      <c r="O164" s="7" t="n">
        <f aca="false">IF(I164&gt;0,A164,"")</f>
        <v>159</v>
      </c>
      <c r="P164" s="7" t="n">
        <f aca="false">IF(L164&gt;=0,A164,"")</f>
        <v>159</v>
      </c>
      <c r="Q164" s="7" t="n">
        <f aca="false">IF(K164&gt;=가정!$B$32,A164,"")</f>
        <v>159</v>
      </c>
      <c r="R164" s="7" t="str">
        <f aca="false">IF(MAX(0,I164)*(1-가정!$B$6)*'1억 상환'!$B$6&gt;='1억 상환'!$B$5,A164,"")</f>
        <v/>
      </c>
    </row>
    <row r="165" customFormat="false" ht="15" hidden="false" customHeight="false" outlineLevel="0" collapsed="false">
      <c r="A165" s="7" t="n">
        <v>160</v>
      </c>
      <c r="B165" s="7" t="n">
        <f aca="false">A165*가정!$B$10</f>
        <v>46400000</v>
      </c>
      <c r="C165" s="7" t="n">
        <f aca="false">가정!$B$34</f>
        <v>3590000</v>
      </c>
      <c r="D165" s="7" t="n">
        <f aca="false">ROUNDUP(MAX(0,A165-가정!$B$18)/가정!$B$19,0)</f>
        <v>3</v>
      </c>
      <c r="E165" s="7" t="n">
        <f aca="false">D165*가정!$B$20+ROUNDUP(A165/가정!$B$22,0)*가정!$B$21+ROUNDUP(A165/가정!$B$24,0)*가정!$B$23</f>
        <v>17300000</v>
      </c>
      <c r="F165" s="7" t="n">
        <f aca="false">A165*가정!$B$26+B165*가정!$B$27</f>
        <v>160000</v>
      </c>
      <c r="G165" s="7" t="n">
        <f aca="false">B165*가정!$B$28</f>
        <v>0</v>
      </c>
      <c r="H165" s="7" t="n">
        <f aca="false">B165-C165-E165-F165-G165</f>
        <v>25350000</v>
      </c>
      <c r="I165" s="7" t="n">
        <f aca="false">H165-IF(가정!$B$7=1,가정!$B$5,0)</f>
        <v>21350000</v>
      </c>
      <c r="J165" s="7" t="n">
        <f aca="false">MAX(0,I165)*가정!$B$6</f>
        <v>19215000</v>
      </c>
      <c r="K165" s="7" t="n">
        <f aca="false">가정!$B$5+J165</f>
        <v>23215000</v>
      </c>
      <c r="L165" s="7" t="n">
        <f aca="false">H165-K165</f>
        <v>2135000</v>
      </c>
      <c r="M165" s="8" t="n">
        <f aca="false">IF(B165=0,0,K165/B165)</f>
        <v>0.500323275862069</v>
      </c>
      <c r="N165" s="7" t="n">
        <f aca="false">K165/가정!$B$8</f>
        <v>116075</v>
      </c>
      <c r="O165" s="7" t="n">
        <f aca="false">IF(I165&gt;0,A165,"")</f>
        <v>160</v>
      </c>
      <c r="P165" s="7" t="n">
        <f aca="false">IF(L165&gt;=0,A165,"")</f>
        <v>160</v>
      </c>
      <c r="Q165" s="7" t="n">
        <f aca="false">IF(K165&gt;=가정!$B$32,A165,"")</f>
        <v>160</v>
      </c>
      <c r="R165" s="7" t="str">
        <f aca="false">IF(MAX(0,I165)*(1-가정!$B$6)*'1억 상환'!$B$6&gt;='1억 상환'!$B$5,A165,"")</f>
        <v/>
      </c>
    </row>
    <row r="166" customFormat="false" ht="15" hidden="false" customHeight="false" outlineLevel="0" collapsed="false">
      <c r="A166" s="7" t="n">
        <v>161</v>
      </c>
      <c r="B166" s="7" t="n">
        <f aca="false">A166*가정!$B$10</f>
        <v>46690000</v>
      </c>
      <c r="C166" s="7" t="n">
        <f aca="false">가정!$B$34</f>
        <v>3590000</v>
      </c>
      <c r="D166" s="7" t="n">
        <f aca="false">ROUNDUP(MAX(0,A166-가정!$B$18)/가정!$B$19,0)</f>
        <v>3</v>
      </c>
      <c r="E166" s="7" t="n">
        <f aca="false">D166*가정!$B$20+ROUNDUP(A166/가정!$B$22,0)*가정!$B$21+ROUNDUP(A166/가정!$B$24,0)*가정!$B$23</f>
        <v>17300000</v>
      </c>
      <c r="F166" s="7" t="n">
        <f aca="false">A166*가정!$B$26+B166*가정!$B$27</f>
        <v>161000</v>
      </c>
      <c r="G166" s="7" t="n">
        <f aca="false">B166*가정!$B$28</f>
        <v>0</v>
      </c>
      <c r="H166" s="7" t="n">
        <f aca="false">B166-C166-E166-F166-G166</f>
        <v>25639000</v>
      </c>
      <c r="I166" s="7" t="n">
        <f aca="false">H166-IF(가정!$B$7=1,가정!$B$5,0)</f>
        <v>21639000</v>
      </c>
      <c r="J166" s="7" t="n">
        <f aca="false">MAX(0,I166)*가정!$B$6</f>
        <v>19475100</v>
      </c>
      <c r="K166" s="7" t="n">
        <f aca="false">가정!$B$5+J166</f>
        <v>23475100</v>
      </c>
      <c r="L166" s="7" t="n">
        <f aca="false">H166-K166</f>
        <v>2163900</v>
      </c>
      <c r="M166" s="8" t="n">
        <f aca="false">IF(B166=0,0,K166/B166)</f>
        <v>0.502786463910902</v>
      </c>
      <c r="N166" s="7" t="n">
        <f aca="false">K166/가정!$B$8</f>
        <v>117375.5</v>
      </c>
      <c r="O166" s="7" t="n">
        <f aca="false">IF(I166&gt;0,A166,"")</f>
        <v>161</v>
      </c>
      <c r="P166" s="7" t="n">
        <f aca="false">IF(L166&gt;=0,A166,"")</f>
        <v>161</v>
      </c>
      <c r="Q166" s="7" t="n">
        <f aca="false">IF(K166&gt;=가정!$B$32,A166,"")</f>
        <v>161</v>
      </c>
      <c r="R166" s="7" t="str">
        <f aca="false">IF(MAX(0,I166)*(1-가정!$B$6)*'1억 상환'!$B$6&gt;='1억 상환'!$B$5,A166,"")</f>
        <v/>
      </c>
    </row>
    <row r="167" customFormat="false" ht="15" hidden="false" customHeight="false" outlineLevel="0" collapsed="false">
      <c r="A167" s="7" t="n">
        <v>162</v>
      </c>
      <c r="B167" s="7" t="n">
        <f aca="false">A167*가정!$B$10</f>
        <v>46980000</v>
      </c>
      <c r="C167" s="7" t="n">
        <f aca="false">가정!$B$34</f>
        <v>3590000</v>
      </c>
      <c r="D167" s="7" t="n">
        <f aca="false">ROUNDUP(MAX(0,A167-가정!$B$18)/가정!$B$19,0)</f>
        <v>3</v>
      </c>
      <c r="E167" s="7" t="n">
        <f aca="false">D167*가정!$B$20+ROUNDUP(A167/가정!$B$22,0)*가정!$B$21+ROUNDUP(A167/가정!$B$24,0)*가정!$B$23</f>
        <v>17300000</v>
      </c>
      <c r="F167" s="7" t="n">
        <f aca="false">A167*가정!$B$26+B167*가정!$B$27</f>
        <v>162000</v>
      </c>
      <c r="G167" s="7" t="n">
        <f aca="false">B167*가정!$B$28</f>
        <v>0</v>
      </c>
      <c r="H167" s="7" t="n">
        <f aca="false">B167-C167-E167-F167-G167</f>
        <v>25928000</v>
      </c>
      <c r="I167" s="7" t="n">
        <f aca="false">H167-IF(가정!$B$7=1,가정!$B$5,0)</f>
        <v>21928000</v>
      </c>
      <c r="J167" s="7" t="n">
        <f aca="false">MAX(0,I167)*가정!$B$6</f>
        <v>19735200</v>
      </c>
      <c r="K167" s="7" t="n">
        <f aca="false">가정!$B$5+J167</f>
        <v>23735200</v>
      </c>
      <c r="L167" s="7" t="n">
        <f aca="false">H167-K167</f>
        <v>2192800</v>
      </c>
      <c r="M167" s="8" t="n">
        <f aca="false">IF(B167=0,0,K167/B167)</f>
        <v>0.505219242230736</v>
      </c>
      <c r="N167" s="7" t="n">
        <f aca="false">K167/가정!$B$8</f>
        <v>118676</v>
      </c>
      <c r="O167" s="7" t="n">
        <f aca="false">IF(I167&gt;0,A167,"")</f>
        <v>162</v>
      </c>
      <c r="P167" s="7" t="n">
        <f aca="false">IF(L167&gt;=0,A167,"")</f>
        <v>162</v>
      </c>
      <c r="Q167" s="7" t="n">
        <f aca="false">IF(K167&gt;=가정!$B$32,A167,"")</f>
        <v>162</v>
      </c>
      <c r="R167" s="7" t="str">
        <f aca="false">IF(MAX(0,I167)*(1-가정!$B$6)*'1억 상환'!$B$6&gt;='1억 상환'!$B$5,A167,"")</f>
        <v/>
      </c>
    </row>
    <row r="168" customFormat="false" ht="15" hidden="false" customHeight="false" outlineLevel="0" collapsed="false">
      <c r="A168" s="7" t="n">
        <v>163</v>
      </c>
      <c r="B168" s="7" t="n">
        <f aca="false">A168*가정!$B$10</f>
        <v>47270000</v>
      </c>
      <c r="C168" s="7" t="n">
        <f aca="false">가정!$B$34</f>
        <v>3590000</v>
      </c>
      <c r="D168" s="7" t="n">
        <f aca="false">ROUNDUP(MAX(0,A168-가정!$B$18)/가정!$B$19,0)</f>
        <v>3</v>
      </c>
      <c r="E168" s="7" t="n">
        <f aca="false">D168*가정!$B$20+ROUNDUP(A168/가정!$B$22,0)*가정!$B$21+ROUNDUP(A168/가정!$B$24,0)*가정!$B$23</f>
        <v>17300000</v>
      </c>
      <c r="F168" s="7" t="n">
        <f aca="false">A168*가정!$B$26+B168*가정!$B$27</f>
        <v>163000</v>
      </c>
      <c r="G168" s="7" t="n">
        <f aca="false">B168*가정!$B$28</f>
        <v>0</v>
      </c>
      <c r="H168" s="7" t="n">
        <f aca="false">B168-C168-E168-F168-G168</f>
        <v>26217000</v>
      </c>
      <c r="I168" s="7" t="n">
        <f aca="false">H168-IF(가정!$B$7=1,가정!$B$5,0)</f>
        <v>22217000</v>
      </c>
      <c r="J168" s="7" t="n">
        <f aca="false">MAX(0,I168)*가정!$B$6</f>
        <v>19995300</v>
      </c>
      <c r="K168" s="7" t="n">
        <f aca="false">가정!$B$5+J168</f>
        <v>23995300</v>
      </c>
      <c r="L168" s="7" t="n">
        <f aca="false">H168-K168</f>
        <v>2221700</v>
      </c>
      <c r="M168" s="8" t="n">
        <f aca="false">IF(B168=0,0,K168/B168)</f>
        <v>0.507622170509837</v>
      </c>
      <c r="N168" s="7" t="n">
        <f aca="false">K168/가정!$B$8</f>
        <v>119976.5</v>
      </c>
      <c r="O168" s="7" t="n">
        <f aca="false">IF(I168&gt;0,A168,"")</f>
        <v>163</v>
      </c>
      <c r="P168" s="7" t="n">
        <f aca="false">IF(L168&gt;=0,A168,"")</f>
        <v>163</v>
      </c>
      <c r="Q168" s="7" t="n">
        <f aca="false">IF(K168&gt;=가정!$B$32,A168,"")</f>
        <v>163</v>
      </c>
      <c r="R168" s="7" t="str">
        <f aca="false">IF(MAX(0,I168)*(1-가정!$B$6)*'1억 상환'!$B$6&gt;='1억 상환'!$B$5,A168,"")</f>
        <v/>
      </c>
    </row>
    <row r="169" customFormat="false" ht="15" hidden="false" customHeight="false" outlineLevel="0" collapsed="false">
      <c r="A169" s="7" t="n">
        <v>164</v>
      </c>
      <c r="B169" s="7" t="n">
        <f aca="false">A169*가정!$B$10</f>
        <v>47560000</v>
      </c>
      <c r="C169" s="7" t="n">
        <f aca="false">가정!$B$34</f>
        <v>3590000</v>
      </c>
      <c r="D169" s="7" t="n">
        <f aca="false">ROUNDUP(MAX(0,A169-가정!$B$18)/가정!$B$19,0)</f>
        <v>3</v>
      </c>
      <c r="E169" s="7" t="n">
        <f aca="false">D169*가정!$B$20+ROUNDUP(A169/가정!$B$22,0)*가정!$B$21+ROUNDUP(A169/가정!$B$24,0)*가정!$B$23</f>
        <v>17300000</v>
      </c>
      <c r="F169" s="7" t="n">
        <f aca="false">A169*가정!$B$26+B169*가정!$B$27</f>
        <v>164000</v>
      </c>
      <c r="G169" s="7" t="n">
        <f aca="false">B169*가정!$B$28</f>
        <v>0</v>
      </c>
      <c r="H169" s="7" t="n">
        <f aca="false">B169-C169-E169-F169-G169</f>
        <v>26506000</v>
      </c>
      <c r="I169" s="7" t="n">
        <f aca="false">H169-IF(가정!$B$7=1,가정!$B$5,0)</f>
        <v>22506000</v>
      </c>
      <c r="J169" s="7" t="n">
        <f aca="false">MAX(0,I169)*가정!$B$6</f>
        <v>20255400</v>
      </c>
      <c r="K169" s="7" t="n">
        <f aca="false">가정!$B$5+J169</f>
        <v>24255400</v>
      </c>
      <c r="L169" s="7" t="n">
        <f aca="false">H169-K169</f>
        <v>2250600</v>
      </c>
      <c r="M169" s="8" t="n">
        <f aca="false">IF(B169=0,0,K169/B169)</f>
        <v>0.509995794785534</v>
      </c>
      <c r="N169" s="7" t="n">
        <f aca="false">K169/가정!$B$8</f>
        <v>121277</v>
      </c>
      <c r="O169" s="7" t="n">
        <f aca="false">IF(I169&gt;0,A169,"")</f>
        <v>164</v>
      </c>
      <c r="P169" s="7" t="n">
        <f aca="false">IF(L169&gt;=0,A169,"")</f>
        <v>164</v>
      </c>
      <c r="Q169" s="7" t="n">
        <f aca="false">IF(K169&gt;=가정!$B$32,A169,"")</f>
        <v>164</v>
      </c>
      <c r="R169" s="7" t="str">
        <f aca="false">IF(MAX(0,I169)*(1-가정!$B$6)*'1억 상환'!$B$6&gt;='1억 상환'!$B$5,A169,"")</f>
        <v/>
      </c>
    </row>
    <row r="170" customFormat="false" ht="15" hidden="false" customHeight="false" outlineLevel="0" collapsed="false">
      <c r="A170" s="7" t="n">
        <v>165</v>
      </c>
      <c r="B170" s="7" t="n">
        <f aca="false">A170*가정!$B$10</f>
        <v>47850000</v>
      </c>
      <c r="C170" s="7" t="n">
        <f aca="false">가정!$B$34</f>
        <v>3590000</v>
      </c>
      <c r="D170" s="7" t="n">
        <f aca="false">ROUNDUP(MAX(0,A170-가정!$B$18)/가정!$B$19,0)</f>
        <v>3</v>
      </c>
      <c r="E170" s="7" t="n">
        <f aca="false">D170*가정!$B$20+ROUNDUP(A170/가정!$B$22,0)*가정!$B$21+ROUNDUP(A170/가정!$B$24,0)*가정!$B$23</f>
        <v>17300000</v>
      </c>
      <c r="F170" s="7" t="n">
        <f aca="false">A170*가정!$B$26+B170*가정!$B$27</f>
        <v>165000</v>
      </c>
      <c r="G170" s="7" t="n">
        <f aca="false">B170*가정!$B$28</f>
        <v>0</v>
      </c>
      <c r="H170" s="7" t="n">
        <f aca="false">B170-C170-E170-F170-G170</f>
        <v>26795000</v>
      </c>
      <c r="I170" s="7" t="n">
        <f aca="false">H170-IF(가정!$B$7=1,가정!$B$5,0)</f>
        <v>22795000</v>
      </c>
      <c r="J170" s="7" t="n">
        <f aca="false">MAX(0,I170)*가정!$B$6</f>
        <v>20515500</v>
      </c>
      <c r="K170" s="7" t="n">
        <f aca="false">가정!$B$5+J170</f>
        <v>24515500</v>
      </c>
      <c r="L170" s="7" t="n">
        <f aca="false">H170-K170</f>
        <v>2279500</v>
      </c>
      <c r="M170" s="8" t="n">
        <f aca="false">IF(B170=0,0,K170/B170)</f>
        <v>0.512340647857889</v>
      </c>
      <c r="N170" s="7" t="n">
        <f aca="false">K170/가정!$B$8</f>
        <v>122577.5</v>
      </c>
      <c r="O170" s="7" t="n">
        <f aca="false">IF(I170&gt;0,A170,"")</f>
        <v>165</v>
      </c>
      <c r="P170" s="7" t="n">
        <f aca="false">IF(L170&gt;=0,A170,"")</f>
        <v>165</v>
      </c>
      <c r="Q170" s="7" t="n">
        <f aca="false">IF(K170&gt;=가정!$B$32,A170,"")</f>
        <v>165</v>
      </c>
      <c r="R170" s="7" t="str">
        <f aca="false">IF(MAX(0,I170)*(1-가정!$B$6)*'1억 상환'!$B$6&gt;='1억 상환'!$B$5,A170,"")</f>
        <v/>
      </c>
    </row>
    <row r="171" customFormat="false" ht="15" hidden="false" customHeight="false" outlineLevel="0" collapsed="false">
      <c r="A171" s="7" t="n">
        <v>166</v>
      </c>
      <c r="B171" s="7" t="n">
        <f aca="false">A171*가정!$B$10</f>
        <v>48140000</v>
      </c>
      <c r="C171" s="7" t="n">
        <f aca="false">가정!$B$34</f>
        <v>3590000</v>
      </c>
      <c r="D171" s="7" t="n">
        <f aca="false">ROUNDUP(MAX(0,A171-가정!$B$18)/가정!$B$19,0)</f>
        <v>3</v>
      </c>
      <c r="E171" s="7" t="n">
        <f aca="false">D171*가정!$B$20+ROUNDUP(A171/가정!$B$22,0)*가정!$B$21+ROUNDUP(A171/가정!$B$24,0)*가정!$B$23</f>
        <v>17300000</v>
      </c>
      <c r="F171" s="7" t="n">
        <f aca="false">A171*가정!$B$26+B171*가정!$B$27</f>
        <v>166000</v>
      </c>
      <c r="G171" s="7" t="n">
        <f aca="false">B171*가정!$B$28</f>
        <v>0</v>
      </c>
      <c r="H171" s="7" t="n">
        <f aca="false">B171-C171-E171-F171-G171</f>
        <v>27084000</v>
      </c>
      <c r="I171" s="7" t="n">
        <f aca="false">H171-IF(가정!$B$7=1,가정!$B$5,0)</f>
        <v>23084000</v>
      </c>
      <c r="J171" s="7" t="n">
        <f aca="false">MAX(0,I171)*가정!$B$6</f>
        <v>20775600</v>
      </c>
      <c r="K171" s="7" t="n">
        <f aca="false">가정!$B$5+J171</f>
        <v>24775600</v>
      </c>
      <c r="L171" s="7" t="n">
        <f aca="false">H171-K171</f>
        <v>2308400</v>
      </c>
      <c r="M171" s="8" t="n">
        <f aca="false">IF(B171=0,0,K171/B171)</f>
        <v>0.514657249688409</v>
      </c>
      <c r="N171" s="7" t="n">
        <f aca="false">K171/가정!$B$8</f>
        <v>123878</v>
      </c>
      <c r="O171" s="7" t="n">
        <f aca="false">IF(I171&gt;0,A171,"")</f>
        <v>166</v>
      </c>
      <c r="P171" s="7" t="n">
        <f aca="false">IF(L171&gt;=0,A171,"")</f>
        <v>166</v>
      </c>
      <c r="Q171" s="7" t="n">
        <f aca="false">IF(K171&gt;=가정!$B$32,A171,"")</f>
        <v>166</v>
      </c>
      <c r="R171" s="7" t="str">
        <f aca="false">IF(MAX(0,I171)*(1-가정!$B$6)*'1억 상환'!$B$6&gt;='1억 상환'!$B$5,A171,"")</f>
        <v/>
      </c>
    </row>
    <row r="172" customFormat="false" ht="15" hidden="false" customHeight="false" outlineLevel="0" collapsed="false">
      <c r="A172" s="7" t="n">
        <v>167</v>
      </c>
      <c r="B172" s="7" t="n">
        <f aca="false">A172*가정!$B$10</f>
        <v>48430000</v>
      </c>
      <c r="C172" s="7" t="n">
        <f aca="false">가정!$B$34</f>
        <v>3590000</v>
      </c>
      <c r="D172" s="7" t="n">
        <f aca="false">ROUNDUP(MAX(0,A172-가정!$B$18)/가정!$B$19,0)</f>
        <v>3</v>
      </c>
      <c r="E172" s="7" t="n">
        <f aca="false">D172*가정!$B$20+ROUNDUP(A172/가정!$B$22,0)*가정!$B$21+ROUNDUP(A172/가정!$B$24,0)*가정!$B$23</f>
        <v>17300000</v>
      </c>
      <c r="F172" s="7" t="n">
        <f aca="false">A172*가정!$B$26+B172*가정!$B$27</f>
        <v>167000</v>
      </c>
      <c r="G172" s="7" t="n">
        <f aca="false">B172*가정!$B$28</f>
        <v>0</v>
      </c>
      <c r="H172" s="7" t="n">
        <f aca="false">B172-C172-E172-F172-G172</f>
        <v>27373000</v>
      </c>
      <c r="I172" s="7" t="n">
        <f aca="false">H172-IF(가정!$B$7=1,가정!$B$5,0)</f>
        <v>23373000</v>
      </c>
      <c r="J172" s="7" t="n">
        <f aca="false">MAX(0,I172)*가정!$B$6</f>
        <v>21035700</v>
      </c>
      <c r="K172" s="7" t="n">
        <f aca="false">가정!$B$5+J172</f>
        <v>25035700</v>
      </c>
      <c r="L172" s="7" t="n">
        <f aca="false">H172-K172</f>
        <v>2337300</v>
      </c>
      <c r="M172" s="8" t="n">
        <f aca="false">IF(B172=0,0,K172/B172)</f>
        <v>0.516946107784431</v>
      </c>
      <c r="N172" s="7" t="n">
        <f aca="false">K172/가정!$B$8</f>
        <v>125178.5</v>
      </c>
      <c r="O172" s="7" t="n">
        <f aca="false">IF(I172&gt;0,A172,"")</f>
        <v>167</v>
      </c>
      <c r="P172" s="7" t="n">
        <f aca="false">IF(L172&gt;=0,A172,"")</f>
        <v>167</v>
      </c>
      <c r="Q172" s="7" t="n">
        <f aca="false">IF(K172&gt;=가정!$B$32,A172,"")</f>
        <v>167</v>
      </c>
      <c r="R172" s="7" t="str">
        <f aca="false">IF(MAX(0,I172)*(1-가정!$B$6)*'1억 상환'!$B$6&gt;='1억 상환'!$B$5,A172,"")</f>
        <v/>
      </c>
    </row>
    <row r="173" customFormat="false" ht="15" hidden="false" customHeight="false" outlineLevel="0" collapsed="false">
      <c r="A173" s="7" t="n">
        <v>168</v>
      </c>
      <c r="B173" s="7" t="n">
        <f aca="false">A173*가정!$B$10</f>
        <v>48720000</v>
      </c>
      <c r="C173" s="7" t="n">
        <f aca="false">가정!$B$34</f>
        <v>3590000</v>
      </c>
      <c r="D173" s="7" t="n">
        <f aca="false">ROUNDUP(MAX(0,A173-가정!$B$18)/가정!$B$19,0)</f>
        <v>3</v>
      </c>
      <c r="E173" s="7" t="n">
        <f aca="false">D173*가정!$B$20+ROUNDUP(A173/가정!$B$22,0)*가정!$B$21+ROUNDUP(A173/가정!$B$24,0)*가정!$B$23</f>
        <v>17300000</v>
      </c>
      <c r="F173" s="7" t="n">
        <f aca="false">A173*가정!$B$26+B173*가정!$B$27</f>
        <v>168000</v>
      </c>
      <c r="G173" s="7" t="n">
        <f aca="false">B173*가정!$B$28</f>
        <v>0</v>
      </c>
      <c r="H173" s="7" t="n">
        <f aca="false">B173-C173-E173-F173-G173</f>
        <v>27662000</v>
      </c>
      <c r="I173" s="7" t="n">
        <f aca="false">H173-IF(가정!$B$7=1,가정!$B$5,0)</f>
        <v>23662000</v>
      </c>
      <c r="J173" s="7" t="n">
        <f aca="false">MAX(0,I173)*가정!$B$6</f>
        <v>21295800</v>
      </c>
      <c r="K173" s="7" t="n">
        <f aca="false">가정!$B$5+J173</f>
        <v>25295800</v>
      </c>
      <c r="L173" s="7" t="n">
        <f aca="false">H173-K173</f>
        <v>2366200</v>
      </c>
      <c r="M173" s="8" t="n">
        <f aca="false">IF(B173=0,0,K173/B173)</f>
        <v>0.519207717569787</v>
      </c>
      <c r="N173" s="7" t="n">
        <f aca="false">K173/가정!$B$8</f>
        <v>126479</v>
      </c>
      <c r="O173" s="7" t="n">
        <f aca="false">IF(I173&gt;0,A173,"")</f>
        <v>168</v>
      </c>
      <c r="P173" s="7" t="n">
        <f aca="false">IF(L173&gt;=0,A173,"")</f>
        <v>168</v>
      </c>
      <c r="Q173" s="7" t="n">
        <f aca="false">IF(K173&gt;=가정!$B$32,A173,"")</f>
        <v>168</v>
      </c>
      <c r="R173" s="7" t="str">
        <f aca="false">IF(MAX(0,I173)*(1-가정!$B$6)*'1억 상환'!$B$6&gt;='1억 상환'!$B$5,A173,"")</f>
        <v/>
      </c>
    </row>
    <row r="174" customFormat="false" ht="15" hidden="false" customHeight="false" outlineLevel="0" collapsed="false">
      <c r="A174" s="7" t="n">
        <v>169</v>
      </c>
      <c r="B174" s="7" t="n">
        <f aca="false">A174*가정!$B$10</f>
        <v>49010000</v>
      </c>
      <c r="C174" s="7" t="n">
        <f aca="false">가정!$B$34</f>
        <v>3590000</v>
      </c>
      <c r="D174" s="7" t="n">
        <f aca="false">ROUNDUP(MAX(0,A174-가정!$B$18)/가정!$B$19,0)</f>
        <v>3</v>
      </c>
      <c r="E174" s="7" t="n">
        <f aca="false">D174*가정!$B$20+ROUNDUP(A174/가정!$B$22,0)*가정!$B$21+ROUNDUP(A174/가정!$B$24,0)*가정!$B$23</f>
        <v>17300000</v>
      </c>
      <c r="F174" s="7" t="n">
        <f aca="false">A174*가정!$B$26+B174*가정!$B$27</f>
        <v>169000</v>
      </c>
      <c r="G174" s="7" t="n">
        <f aca="false">B174*가정!$B$28</f>
        <v>0</v>
      </c>
      <c r="H174" s="7" t="n">
        <f aca="false">B174-C174-E174-F174-G174</f>
        <v>27951000</v>
      </c>
      <c r="I174" s="7" t="n">
        <f aca="false">H174-IF(가정!$B$7=1,가정!$B$5,0)</f>
        <v>23951000</v>
      </c>
      <c r="J174" s="7" t="n">
        <f aca="false">MAX(0,I174)*가정!$B$6</f>
        <v>21555900</v>
      </c>
      <c r="K174" s="7" t="n">
        <f aca="false">가정!$B$5+J174</f>
        <v>25555900</v>
      </c>
      <c r="L174" s="7" t="n">
        <f aca="false">H174-K174</f>
        <v>2395100</v>
      </c>
      <c r="M174" s="8" t="n">
        <f aca="false">IF(B174=0,0,K174/B174)</f>
        <v>0.521442562742298</v>
      </c>
      <c r="N174" s="7" t="n">
        <f aca="false">K174/가정!$B$8</f>
        <v>127779.5</v>
      </c>
      <c r="O174" s="7" t="n">
        <f aca="false">IF(I174&gt;0,A174,"")</f>
        <v>169</v>
      </c>
      <c r="P174" s="7" t="n">
        <f aca="false">IF(L174&gt;=0,A174,"")</f>
        <v>169</v>
      </c>
      <c r="Q174" s="7" t="n">
        <f aca="false">IF(K174&gt;=가정!$B$32,A174,"")</f>
        <v>169</v>
      </c>
      <c r="R174" s="7" t="str">
        <f aca="false">IF(MAX(0,I174)*(1-가정!$B$6)*'1억 상환'!$B$6&gt;='1억 상환'!$B$5,A174,"")</f>
        <v/>
      </c>
    </row>
    <row r="175" customFormat="false" ht="15" hidden="false" customHeight="false" outlineLevel="0" collapsed="false">
      <c r="A175" s="7" t="n">
        <v>170</v>
      </c>
      <c r="B175" s="7" t="n">
        <f aca="false">A175*가정!$B$10</f>
        <v>49300000</v>
      </c>
      <c r="C175" s="7" t="n">
        <f aca="false">가정!$B$34</f>
        <v>3590000</v>
      </c>
      <c r="D175" s="7" t="n">
        <f aca="false">ROUNDUP(MAX(0,A175-가정!$B$18)/가정!$B$19,0)</f>
        <v>3</v>
      </c>
      <c r="E175" s="7" t="n">
        <f aca="false">D175*가정!$B$20+ROUNDUP(A175/가정!$B$22,0)*가정!$B$21+ROUNDUP(A175/가정!$B$24,0)*가정!$B$23</f>
        <v>17300000</v>
      </c>
      <c r="F175" s="7" t="n">
        <f aca="false">A175*가정!$B$26+B175*가정!$B$27</f>
        <v>170000</v>
      </c>
      <c r="G175" s="7" t="n">
        <f aca="false">B175*가정!$B$28</f>
        <v>0</v>
      </c>
      <c r="H175" s="7" t="n">
        <f aca="false">B175-C175-E175-F175-G175</f>
        <v>28240000</v>
      </c>
      <c r="I175" s="7" t="n">
        <f aca="false">H175-IF(가정!$B$7=1,가정!$B$5,0)</f>
        <v>24240000</v>
      </c>
      <c r="J175" s="7" t="n">
        <f aca="false">MAX(0,I175)*가정!$B$6</f>
        <v>21816000</v>
      </c>
      <c r="K175" s="7" t="n">
        <f aca="false">가정!$B$5+J175</f>
        <v>25816000</v>
      </c>
      <c r="L175" s="7" t="n">
        <f aca="false">H175-K175</f>
        <v>2424000</v>
      </c>
      <c r="M175" s="8" t="n">
        <f aca="false">IF(B175=0,0,K175/B175)</f>
        <v>0.523651115618661</v>
      </c>
      <c r="N175" s="7" t="n">
        <f aca="false">K175/가정!$B$8</f>
        <v>129080</v>
      </c>
      <c r="O175" s="7" t="n">
        <f aca="false">IF(I175&gt;0,A175,"")</f>
        <v>170</v>
      </c>
      <c r="P175" s="7" t="n">
        <f aca="false">IF(L175&gt;=0,A175,"")</f>
        <v>170</v>
      </c>
      <c r="Q175" s="7" t="n">
        <f aca="false">IF(K175&gt;=가정!$B$32,A175,"")</f>
        <v>170</v>
      </c>
      <c r="R175" s="7" t="str">
        <f aca="false">IF(MAX(0,I175)*(1-가정!$B$6)*'1억 상환'!$B$6&gt;='1억 상환'!$B$5,A175,"")</f>
        <v/>
      </c>
    </row>
    <row r="176" customFormat="false" ht="15" hidden="false" customHeight="false" outlineLevel="0" collapsed="false">
      <c r="A176" s="7" t="n">
        <v>171</v>
      </c>
      <c r="B176" s="7" t="n">
        <f aca="false">A176*가정!$B$10</f>
        <v>49590000</v>
      </c>
      <c r="C176" s="7" t="n">
        <f aca="false">가정!$B$34</f>
        <v>3590000</v>
      </c>
      <c r="D176" s="7" t="n">
        <f aca="false">ROUNDUP(MAX(0,A176-가정!$B$18)/가정!$B$19,0)</f>
        <v>3</v>
      </c>
      <c r="E176" s="7" t="n">
        <f aca="false">D176*가정!$B$20+ROUNDUP(A176/가정!$B$22,0)*가정!$B$21+ROUNDUP(A176/가정!$B$24,0)*가정!$B$23</f>
        <v>17300000</v>
      </c>
      <c r="F176" s="7" t="n">
        <f aca="false">A176*가정!$B$26+B176*가정!$B$27</f>
        <v>171000</v>
      </c>
      <c r="G176" s="7" t="n">
        <f aca="false">B176*가정!$B$28</f>
        <v>0</v>
      </c>
      <c r="H176" s="7" t="n">
        <f aca="false">B176-C176-E176-F176-G176</f>
        <v>28529000</v>
      </c>
      <c r="I176" s="7" t="n">
        <f aca="false">H176-IF(가정!$B$7=1,가정!$B$5,0)</f>
        <v>24529000</v>
      </c>
      <c r="J176" s="7" t="n">
        <f aca="false">MAX(0,I176)*가정!$B$6</f>
        <v>22076100</v>
      </c>
      <c r="K176" s="7" t="n">
        <f aca="false">가정!$B$5+J176</f>
        <v>26076100</v>
      </c>
      <c r="L176" s="7" t="n">
        <f aca="false">H176-K176</f>
        <v>2452900</v>
      </c>
      <c r="M176" s="8" t="n">
        <f aca="false">IF(B176=0,0,K176/B176)</f>
        <v>0.525833837467231</v>
      </c>
      <c r="N176" s="7" t="n">
        <f aca="false">K176/가정!$B$8</f>
        <v>130380.5</v>
      </c>
      <c r="O176" s="7" t="n">
        <f aca="false">IF(I176&gt;0,A176,"")</f>
        <v>171</v>
      </c>
      <c r="P176" s="7" t="n">
        <f aca="false">IF(L176&gt;=0,A176,"")</f>
        <v>171</v>
      </c>
      <c r="Q176" s="7" t="n">
        <f aca="false">IF(K176&gt;=가정!$B$32,A176,"")</f>
        <v>171</v>
      </c>
      <c r="R176" s="7" t="str">
        <f aca="false">IF(MAX(0,I176)*(1-가정!$B$6)*'1억 상환'!$B$6&gt;='1억 상환'!$B$5,A176,"")</f>
        <v/>
      </c>
    </row>
    <row r="177" customFormat="false" ht="15" hidden="false" customHeight="false" outlineLevel="0" collapsed="false">
      <c r="A177" s="7" t="n">
        <v>172</v>
      </c>
      <c r="B177" s="7" t="n">
        <f aca="false">A177*가정!$B$10</f>
        <v>49880000</v>
      </c>
      <c r="C177" s="7" t="n">
        <f aca="false">가정!$B$34</f>
        <v>3590000</v>
      </c>
      <c r="D177" s="7" t="n">
        <f aca="false">ROUNDUP(MAX(0,A177-가정!$B$18)/가정!$B$19,0)</f>
        <v>3</v>
      </c>
      <c r="E177" s="7" t="n">
        <f aca="false">D177*가정!$B$20+ROUNDUP(A177/가정!$B$22,0)*가정!$B$21+ROUNDUP(A177/가정!$B$24,0)*가정!$B$23</f>
        <v>17300000</v>
      </c>
      <c r="F177" s="7" t="n">
        <f aca="false">A177*가정!$B$26+B177*가정!$B$27</f>
        <v>172000</v>
      </c>
      <c r="G177" s="7" t="n">
        <f aca="false">B177*가정!$B$28</f>
        <v>0</v>
      </c>
      <c r="H177" s="7" t="n">
        <f aca="false">B177-C177-E177-F177-G177</f>
        <v>28818000</v>
      </c>
      <c r="I177" s="7" t="n">
        <f aca="false">H177-IF(가정!$B$7=1,가정!$B$5,0)</f>
        <v>24818000</v>
      </c>
      <c r="J177" s="7" t="n">
        <f aca="false">MAX(0,I177)*가정!$B$6</f>
        <v>22336200</v>
      </c>
      <c r="K177" s="7" t="n">
        <f aca="false">가정!$B$5+J177</f>
        <v>26336200</v>
      </c>
      <c r="L177" s="7" t="n">
        <f aca="false">H177-K177</f>
        <v>2481800</v>
      </c>
      <c r="M177" s="8" t="n">
        <f aca="false">IF(B177=0,0,K177/B177)</f>
        <v>0.52799117882919</v>
      </c>
      <c r="N177" s="7" t="n">
        <f aca="false">K177/가정!$B$8</f>
        <v>131681</v>
      </c>
      <c r="O177" s="7" t="n">
        <f aca="false">IF(I177&gt;0,A177,"")</f>
        <v>172</v>
      </c>
      <c r="P177" s="7" t="n">
        <f aca="false">IF(L177&gt;=0,A177,"")</f>
        <v>172</v>
      </c>
      <c r="Q177" s="7" t="n">
        <f aca="false">IF(K177&gt;=가정!$B$32,A177,"")</f>
        <v>172</v>
      </c>
      <c r="R177" s="7" t="str">
        <f aca="false">IF(MAX(0,I177)*(1-가정!$B$6)*'1억 상환'!$B$6&gt;='1억 상환'!$B$5,A177,"")</f>
        <v/>
      </c>
    </row>
    <row r="178" customFormat="false" ht="15" hidden="false" customHeight="false" outlineLevel="0" collapsed="false">
      <c r="A178" s="7" t="n">
        <v>173</v>
      </c>
      <c r="B178" s="7" t="n">
        <f aca="false">A178*가정!$B$10</f>
        <v>50170000</v>
      </c>
      <c r="C178" s="7" t="n">
        <f aca="false">가정!$B$34</f>
        <v>3590000</v>
      </c>
      <c r="D178" s="7" t="n">
        <f aca="false">ROUNDUP(MAX(0,A178-가정!$B$18)/가정!$B$19,0)</f>
        <v>3</v>
      </c>
      <c r="E178" s="7" t="n">
        <f aca="false">D178*가정!$B$20+ROUNDUP(A178/가정!$B$22,0)*가정!$B$21+ROUNDUP(A178/가정!$B$24,0)*가정!$B$23</f>
        <v>17300000</v>
      </c>
      <c r="F178" s="7" t="n">
        <f aca="false">A178*가정!$B$26+B178*가정!$B$27</f>
        <v>173000</v>
      </c>
      <c r="G178" s="7" t="n">
        <f aca="false">B178*가정!$B$28</f>
        <v>0</v>
      </c>
      <c r="H178" s="7" t="n">
        <f aca="false">B178-C178-E178-F178-G178</f>
        <v>29107000</v>
      </c>
      <c r="I178" s="7" t="n">
        <f aca="false">H178-IF(가정!$B$7=1,가정!$B$5,0)</f>
        <v>25107000</v>
      </c>
      <c r="J178" s="7" t="n">
        <f aca="false">MAX(0,I178)*가정!$B$6</f>
        <v>22596300</v>
      </c>
      <c r="K178" s="7" t="n">
        <f aca="false">가정!$B$5+J178</f>
        <v>26596300</v>
      </c>
      <c r="L178" s="7" t="n">
        <f aca="false">H178-K178</f>
        <v>2510700</v>
      </c>
      <c r="M178" s="8" t="n">
        <f aca="false">IF(B178=0,0,K178/B178)</f>
        <v>0.530123579828583</v>
      </c>
      <c r="N178" s="7" t="n">
        <f aca="false">K178/가정!$B$8</f>
        <v>132981.5</v>
      </c>
      <c r="O178" s="7" t="n">
        <f aca="false">IF(I178&gt;0,A178,"")</f>
        <v>173</v>
      </c>
      <c r="P178" s="7" t="n">
        <f aca="false">IF(L178&gt;=0,A178,"")</f>
        <v>173</v>
      </c>
      <c r="Q178" s="7" t="n">
        <f aca="false">IF(K178&gt;=가정!$B$32,A178,"")</f>
        <v>173</v>
      </c>
      <c r="R178" s="7" t="str">
        <f aca="false">IF(MAX(0,I178)*(1-가정!$B$6)*'1억 상환'!$B$6&gt;='1억 상환'!$B$5,A178,"")</f>
        <v/>
      </c>
    </row>
    <row r="179" customFormat="false" ht="15" hidden="false" customHeight="false" outlineLevel="0" collapsed="false">
      <c r="A179" s="7" t="n">
        <v>174</v>
      </c>
      <c r="B179" s="7" t="n">
        <f aca="false">A179*가정!$B$10</f>
        <v>50460000</v>
      </c>
      <c r="C179" s="7" t="n">
        <f aca="false">가정!$B$34</f>
        <v>3590000</v>
      </c>
      <c r="D179" s="7" t="n">
        <f aca="false">ROUNDUP(MAX(0,A179-가정!$B$18)/가정!$B$19,0)</f>
        <v>3</v>
      </c>
      <c r="E179" s="7" t="n">
        <f aca="false">D179*가정!$B$20+ROUNDUP(A179/가정!$B$22,0)*가정!$B$21+ROUNDUP(A179/가정!$B$24,0)*가정!$B$23</f>
        <v>17300000</v>
      </c>
      <c r="F179" s="7" t="n">
        <f aca="false">A179*가정!$B$26+B179*가정!$B$27</f>
        <v>174000</v>
      </c>
      <c r="G179" s="7" t="n">
        <f aca="false">B179*가정!$B$28</f>
        <v>0</v>
      </c>
      <c r="H179" s="7" t="n">
        <f aca="false">B179-C179-E179-F179-G179</f>
        <v>29396000</v>
      </c>
      <c r="I179" s="7" t="n">
        <f aca="false">H179-IF(가정!$B$7=1,가정!$B$5,0)</f>
        <v>25396000</v>
      </c>
      <c r="J179" s="7" t="n">
        <f aca="false">MAX(0,I179)*가정!$B$6</f>
        <v>22856400</v>
      </c>
      <c r="K179" s="7" t="n">
        <f aca="false">가정!$B$5+J179</f>
        <v>26856400</v>
      </c>
      <c r="L179" s="7" t="n">
        <f aca="false">H179-K179</f>
        <v>2539600</v>
      </c>
      <c r="M179" s="8" t="n">
        <f aca="false">IF(B179=0,0,K179/B179)</f>
        <v>0.532231470471661</v>
      </c>
      <c r="N179" s="7" t="n">
        <f aca="false">K179/가정!$B$8</f>
        <v>134282</v>
      </c>
      <c r="O179" s="7" t="n">
        <f aca="false">IF(I179&gt;0,A179,"")</f>
        <v>174</v>
      </c>
      <c r="P179" s="7" t="n">
        <f aca="false">IF(L179&gt;=0,A179,"")</f>
        <v>174</v>
      </c>
      <c r="Q179" s="7" t="n">
        <f aca="false">IF(K179&gt;=가정!$B$32,A179,"")</f>
        <v>174</v>
      </c>
      <c r="R179" s="7" t="str">
        <f aca="false">IF(MAX(0,I179)*(1-가정!$B$6)*'1억 상환'!$B$6&gt;='1억 상환'!$B$5,A179,"")</f>
        <v/>
      </c>
    </row>
    <row r="180" customFormat="false" ht="15" hidden="false" customHeight="false" outlineLevel="0" collapsed="false">
      <c r="A180" s="7" t="n">
        <v>175</v>
      </c>
      <c r="B180" s="7" t="n">
        <f aca="false">A180*가정!$B$10</f>
        <v>50750000</v>
      </c>
      <c r="C180" s="7" t="n">
        <f aca="false">가정!$B$34</f>
        <v>3590000</v>
      </c>
      <c r="D180" s="7" t="n">
        <f aca="false">ROUNDUP(MAX(0,A180-가정!$B$18)/가정!$B$19,0)</f>
        <v>3</v>
      </c>
      <c r="E180" s="7" t="n">
        <f aca="false">D180*가정!$B$20+ROUNDUP(A180/가정!$B$22,0)*가정!$B$21+ROUNDUP(A180/가정!$B$24,0)*가정!$B$23</f>
        <v>17300000</v>
      </c>
      <c r="F180" s="7" t="n">
        <f aca="false">A180*가정!$B$26+B180*가정!$B$27</f>
        <v>175000</v>
      </c>
      <c r="G180" s="7" t="n">
        <f aca="false">B180*가정!$B$28</f>
        <v>0</v>
      </c>
      <c r="H180" s="7" t="n">
        <f aca="false">B180-C180-E180-F180-G180</f>
        <v>29685000</v>
      </c>
      <c r="I180" s="7" t="n">
        <f aca="false">H180-IF(가정!$B$7=1,가정!$B$5,0)</f>
        <v>25685000</v>
      </c>
      <c r="J180" s="7" t="n">
        <f aca="false">MAX(0,I180)*가정!$B$6</f>
        <v>23116500</v>
      </c>
      <c r="K180" s="7" t="n">
        <f aca="false">가정!$B$5+J180</f>
        <v>27116500</v>
      </c>
      <c r="L180" s="7" t="n">
        <f aca="false">H180-K180</f>
        <v>2568500</v>
      </c>
      <c r="M180" s="8" t="n">
        <f aca="false">IF(B180=0,0,K180/B180)</f>
        <v>0.534315270935961</v>
      </c>
      <c r="N180" s="7" t="n">
        <f aca="false">K180/가정!$B$8</f>
        <v>135582.5</v>
      </c>
      <c r="O180" s="7" t="n">
        <f aca="false">IF(I180&gt;0,A180,"")</f>
        <v>175</v>
      </c>
      <c r="P180" s="7" t="n">
        <f aca="false">IF(L180&gt;=0,A180,"")</f>
        <v>175</v>
      </c>
      <c r="Q180" s="7" t="n">
        <f aca="false">IF(K180&gt;=가정!$B$32,A180,"")</f>
        <v>175</v>
      </c>
      <c r="R180" s="7" t="str">
        <f aca="false">IF(MAX(0,I180)*(1-가정!$B$6)*'1억 상환'!$B$6&gt;='1억 상환'!$B$5,A180,"")</f>
        <v/>
      </c>
    </row>
    <row r="181" customFormat="false" ht="15" hidden="false" customHeight="false" outlineLevel="0" collapsed="false">
      <c r="A181" s="7" t="n">
        <v>176</v>
      </c>
      <c r="B181" s="7" t="n">
        <f aca="false">A181*가정!$B$10</f>
        <v>51040000</v>
      </c>
      <c r="C181" s="7" t="n">
        <f aca="false">가정!$B$34</f>
        <v>3590000</v>
      </c>
      <c r="D181" s="7" t="n">
        <f aca="false">ROUNDUP(MAX(0,A181-가정!$B$18)/가정!$B$19,0)</f>
        <v>3</v>
      </c>
      <c r="E181" s="7" t="n">
        <f aca="false">D181*가정!$B$20+ROUNDUP(A181/가정!$B$22,0)*가정!$B$21+ROUNDUP(A181/가정!$B$24,0)*가정!$B$23</f>
        <v>17300000</v>
      </c>
      <c r="F181" s="7" t="n">
        <f aca="false">A181*가정!$B$26+B181*가정!$B$27</f>
        <v>176000</v>
      </c>
      <c r="G181" s="7" t="n">
        <f aca="false">B181*가정!$B$28</f>
        <v>0</v>
      </c>
      <c r="H181" s="7" t="n">
        <f aca="false">B181-C181-E181-F181-G181</f>
        <v>29974000</v>
      </c>
      <c r="I181" s="7" t="n">
        <f aca="false">H181-IF(가정!$B$7=1,가정!$B$5,0)</f>
        <v>25974000</v>
      </c>
      <c r="J181" s="7" t="n">
        <f aca="false">MAX(0,I181)*가정!$B$6</f>
        <v>23376600</v>
      </c>
      <c r="K181" s="7" t="n">
        <f aca="false">가정!$B$5+J181</f>
        <v>27376600</v>
      </c>
      <c r="L181" s="7" t="n">
        <f aca="false">H181-K181</f>
        <v>2597400</v>
      </c>
      <c r="M181" s="8" t="n">
        <f aca="false">IF(B181=0,0,K181/B181)</f>
        <v>0.53637539184953</v>
      </c>
      <c r="N181" s="7" t="n">
        <f aca="false">K181/가정!$B$8</f>
        <v>136883</v>
      </c>
      <c r="O181" s="7" t="n">
        <f aca="false">IF(I181&gt;0,A181,"")</f>
        <v>176</v>
      </c>
      <c r="P181" s="7" t="n">
        <f aca="false">IF(L181&gt;=0,A181,"")</f>
        <v>176</v>
      </c>
      <c r="Q181" s="7" t="n">
        <f aca="false">IF(K181&gt;=가정!$B$32,A181,"")</f>
        <v>176</v>
      </c>
      <c r="R181" s="7" t="str">
        <f aca="false">IF(MAX(0,I181)*(1-가정!$B$6)*'1억 상환'!$B$6&gt;='1억 상환'!$B$5,A181,"")</f>
        <v/>
      </c>
    </row>
    <row r="182" customFormat="false" ht="15" hidden="false" customHeight="false" outlineLevel="0" collapsed="false">
      <c r="A182" s="7" t="n">
        <v>177</v>
      </c>
      <c r="B182" s="7" t="n">
        <f aca="false">A182*가정!$B$10</f>
        <v>51330000</v>
      </c>
      <c r="C182" s="7" t="n">
        <f aca="false">가정!$B$34</f>
        <v>3590000</v>
      </c>
      <c r="D182" s="7" t="n">
        <f aca="false">ROUNDUP(MAX(0,A182-가정!$B$18)/가정!$B$19,0)</f>
        <v>3</v>
      </c>
      <c r="E182" s="7" t="n">
        <f aca="false">D182*가정!$B$20+ROUNDUP(A182/가정!$B$22,0)*가정!$B$21+ROUNDUP(A182/가정!$B$24,0)*가정!$B$23</f>
        <v>17300000</v>
      </c>
      <c r="F182" s="7" t="n">
        <f aca="false">A182*가정!$B$26+B182*가정!$B$27</f>
        <v>177000</v>
      </c>
      <c r="G182" s="7" t="n">
        <f aca="false">B182*가정!$B$28</f>
        <v>0</v>
      </c>
      <c r="H182" s="7" t="n">
        <f aca="false">B182-C182-E182-F182-G182</f>
        <v>30263000</v>
      </c>
      <c r="I182" s="7" t="n">
        <f aca="false">H182-IF(가정!$B$7=1,가정!$B$5,0)</f>
        <v>26263000</v>
      </c>
      <c r="J182" s="7" t="n">
        <f aca="false">MAX(0,I182)*가정!$B$6</f>
        <v>23636700</v>
      </c>
      <c r="K182" s="7" t="n">
        <f aca="false">가정!$B$5+J182</f>
        <v>27636700</v>
      </c>
      <c r="L182" s="7" t="n">
        <f aca="false">H182-K182</f>
        <v>2626300</v>
      </c>
      <c r="M182" s="8" t="n">
        <f aca="false">IF(B182=0,0,K182/B182)</f>
        <v>0.538412234560686</v>
      </c>
      <c r="N182" s="7" t="n">
        <f aca="false">K182/가정!$B$8</f>
        <v>138183.5</v>
      </c>
      <c r="O182" s="7" t="n">
        <f aca="false">IF(I182&gt;0,A182,"")</f>
        <v>177</v>
      </c>
      <c r="P182" s="7" t="n">
        <f aca="false">IF(L182&gt;=0,A182,"")</f>
        <v>177</v>
      </c>
      <c r="Q182" s="7" t="n">
        <f aca="false">IF(K182&gt;=가정!$B$32,A182,"")</f>
        <v>177</v>
      </c>
      <c r="R182" s="7" t="str">
        <f aca="false">IF(MAX(0,I182)*(1-가정!$B$6)*'1억 상환'!$B$6&gt;='1억 상환'!$B$5,A182,"")</f>
        <v/>
      </c>
    </row>
    <row r="183" customFormat="false" ht="15" hidden="false" customHeight="false" outlineLevel="0" collapsed="false">
      <c r="A183" s="7" t="n">
        <v>178</v>
      </c>
      <c r="B183" s="7" t="n">
        <f aca="false">A183*가정!$B$10</f>
        <v>51620000</v>
      </c>
      <c r="C183" s="7" t="n">
        <f aca="false">가정!$B$34</f>
        <v>3590000</v>
      </c>
      <c r="D183" s="7" t="n">
        <f aca="false">ROUNDUP(MAX(0,A183-가정!$B$18)/가정!$B$19,0)</f>
        <v>3</v>
      </c>
      <c r="E183" s="7" t="n">
        <f aca="false">D183*가정!$B$20+ROUNDUP(A183/가정!$B$22,0)*가정!$B$21+ROUNDUP(A183/가정!$B$24,0)*가정!$B$23</f>
        <v>17300000</v>
      </c>
      <c r="F183" s="7" t="n">
        <f aca="false">A183*가정!$B$26+B183*가정!$B$27</f>
        <v>178000</v>
      </c>
      <c r="G183" s="7" t="n">
        <f aca="false">B183*가정!$B$28</f>
        <v>0</v>
      </c>
      <c r="H183" s="7" t="n">
        <f aca="false">B183-C183-E183-F183-G183</f>
        <v>30552000</v>
      </c>
      <c r="I183" s="7" t="n">
        <f aca="false">H183-IF(가정!$B$7=1,가정!$B$5,0)</f>
        <v>26552000</v>
      </c>
      <c r="J183" s="7" t="n">
        <f aca="false">MAX(0,I183)*가정!$B$6</f>
        <v>23896800</v>
      </c>
      <c r="K183" s="7" t="n">
        <f aca="false">가정!$B$5+J183</f>
        <v>27896800</v>
      </c>
      <c r="L183" s="7" t="n">
        <f aca="false">H183-K183</f>
        <v>2655200</v>
      </c>
      <c r="M183" s="8" t="n">
        <f aca="false">IF(B183=0,0,K183/B183)</f>
        <v>0.540426191398683</v>
      </c>
      <c r="N183" s="7" t="n">
        <f aca="false">K183/가정!$B$8</f>
        <v>139484</v>
      </c>
      <c r="O183" s="7" t="n">
        <f aca="false">IF(I183&gt;0,A183,"")</f>
        <v>178</v>
      </c>
      <c r="P183" s="7" t="n">
        <f aca="false">IF(L183&gt;=0,A183,"")</f>
        <v>178</v>
      </c>
      <c r="Q183" s="7" t="n">
        <f aca="false">IF(K183&gt;=가정!$B$32,A183,"")</f>
        <v>178</v>
      </c>
      <c r="R183" s="7" t="str">
        <f aca="false">IF(MAX(0,I183)*(1-가정!$B$6)*'1억 상환'!$B$6&gt;='1억 상환'!$B$5,A183,"")</f>
        <v/>
      </c>
    </row>
    <row r="184" customFormat="false" ht="15" hidden="false" customHeight="false" outlineLevel="0" collapsed="false">
      <c r="A184" s="7" t="n">
        <v>179</v>
      </c>
      <c r="B184" s="7" t="n">
        <f aca="false">A184*가정!$B$10</f>
        <v>51910000</v>
      </c>
      <c r="C184" s="7" t="n">
        <f aca="false">가정!$B$34</f>
        <v>3590000</v>
      </c>
      <c r="D184" s="7" t="n">
        <f aca="false">ROUNDUP(MAX(0,A184-가정!$B$18)/가정!$B$19,0)</f>
        <v>3</v>
      </c>
      <c r="E184" s="7" t="n">
        <f aca="false">D184*가정!$B$20+ROUNDUP(A184/가정!$B$22,0)*가정!$B$21+ROUNDUP(A184/가정!$B$24,0)*가정!$B$23</f>
        <v>17300000</v>
      </c>
      <c r="F184" s="7" t="n">
        <f aca="false">A184*가정!$B$26+B184*가정!$B$27</f>
        <v>179000</v>
      </c>
      <c r="G184" s="7" t="n">
        <f aca="false">B184*가정!$B$28</f>
        <v>0</v>
      </c>
      <c r="H184" s="7" t="n">
        <f aca="false">B184-C184-E184-F184-G184</f>
        <v>30841000</v>
      </c>
      <c r="I184" s="7" t="n">
        <f aca="false">H184-IF(가정!$B$7=1,가정!$B$5,0)</f>
        <v>26841000</v>
      </c>
      <c r="J184" s="7" t="n">
        <f aca="false">MAX(0,I184)*가정!$B$6</f>
        <v>24156900</v>
      </c>
      <c r="K184" s="7" t="n">
        <f aca="false">가정!$B$5+J184</f>
        <v>28156900</v>
      </c>
      <c r="L184" s="7" t="n">
        <f aca="false">H184-K184</f>
        <v>2684100</v>
      </c>
      <c r="M184" s="8" t="n">
        <f aca="false">IF(B184=0,0,K184/B184)</f>
        <v>0.542417645925641</v>
      </c>
      <c r="N184" s="7" t="n">
        <f aca="false">K184/가정!$B$8</f>
        <v>140784.5</v>
      </c>
      <c r="O184" s="7" t="n">
        <f aca="false">IF(I184&gt;0,A184,"")</f>
        <v>179</v>
      </c>
      <c r="P184" s="7" t="n">
        <f aca="false">IF(L184&gt;=0,A184,"")</f>
        <v>179</v>
      </c>
      <c r="Q184" s="7" t="n">
        <f aca="false">IF(K184&gt;=가정!$B$32,A184,"")</f>
        <v>179</v>
      </c>
      <c r="R184" s="7" t="str">
        <f aca="false">IF(MAX(0,I184)*(1-가정!$B$6)*'1억 상환'!$B$6&gt;='1억 상환'!$B$5,A184,"")</f>
        <v/>
      </c>
    </row>
    <row r="185" customFormat="false" ht="15" hidden="false" customHeight="false" outlineLevel="0" collapsed="false">
      <c r="A185" s="7" t="n">
        <v>180</v>
      </c>
      <c r="B185" s="7" t="n">
        <f aca="false">A185*가정!$B$10</f>
        <v>52200000</v>
      </c>
      <c r="C185" s="7" t="n">
        <f aca="false">가정!$B$34</f>
        <v>3590000</v>
      </c>
      <c r="D185" s="7" t="n">
        <f aca="false">ROUNDUP(MAX(0,A185-가정!$B$18)/가정!$B$19,0)</f>
        <v>3</v>
      </c>
      <c r="E185" s="7" t="n">
        <f aca="false">D185*가정!$B$20+ROUNDUP(A185/가정!$B$22,0)*가정!$B$21+ROUNDUP(A185/가정!$B$24,0)*가정!$B$23</f>
        <v>17300000</v>
      </c>
      <c r="F185" s="7" t="n">
        <f aca="false">A185*가정!$B$26+B185*가정!$B$27</f>
        <v>180000</v>
      </c>
      <c r="G185" s="7" t="n">
        <f aca="false">B185*가정!$B$28</f>
        <v>0</v>
      </c>
      <c r="H185" s="7" t="n">
        <f aca="false">B185-C185-E185-F185-G185</f>
        <v>31130000</v>
      </c>
      <c r="I185" s="7" t="n">
        <f aca="false">H185-IF(가정!$B$7=1,가정!$B$5,0)</f>
        <v>27130000</v>
      </c>
      <c r="J185" s="7" t="n">
        <f aca="false">MAX(0,I185)*가정!$B$6</f>
        <v>24417000</v>
      </c>
      <c r="K185" s="7" t="n">
        <f aca="false">가정!$B$5+J185</f>
        <v>28417000</v>
      </c>
      <c r="L185" s="7" t="n">
        <f aca="false">H185-K185</f>
        <v>2713000</v>
      </c>
      <c r="M185" s="8" t="n">
        <f aca="false">IF(B185=0,0,K185/B185)</f>
        <v>0.544386973180077</v>
      </c>
      <c r="N185" s="7" t="n">
        <f aca="false">K185/가정!$B$8</f>
        <v>142085</v>
      </c>
      <c r="O185" s="7" t="n">
        <f aca="false">IF(I185&gt;0,A185,"")</f>
        <v>180</v>
      </c>
      <c r="P185" s="7" t="n">
        <f aca="false">IF(L185&gt;=0,A185,"")</f>
        <v>180</v>
      </c>
      <c r="Q185" s="7" t="n">
        <f aca="false">IF(K185&gt;=가정!$B$32,A185,"")</f>
        <v>180</v>
      </c>
      <c r="R185" s="7" t="str">
        <f aca="false">IF(MAX(0,I185)*(1-가정!$B$6)*'1억 상환'!$B$6&gt;='1억 상환'!$B$5,A185,"")</f>
        <v/>
      </c>
    </row>
    <row r="186" customFormat="false" ht="15" hidden="false" customHeight="false" outlineLevel="0" collapsed="false">
      <c r="A186" s="7" t="n">
        <v>181</v>
      </c>
      <c r="B186" s="7" t="n">
        <f aca="false">A186*가정!$B$10</f>
        <v>52490000</v>
      </c>
      <c r="C186" s="7" t="n">
        <f aca="false">가정!$B$34</f>
        <v>3590000</v>
      </c>
      <c r="D186" s="7" t="n">
        <f aca="false">ROUNDUP(MAX(0,A186-가정!$B$18)/가정!$B$19,0)</f>
        <v>4</v>
      </c>
      <c r="E186" s="7" t="n">
        <f aca="false">D186*가정!$B$20+ROUNDUP(A186/가정!$B$22,0)*가정!$B$21+ROUNDUP(A186/가정!$B$24,0)*가정!$B$23</f>
        <v>21800000</v>
      </c>
      <c r="F186" s="7" t="n">
        <f aca="false">A186*가정!$B$26+B186*가정!$B$27</f>
        <v>181000</v>
      </c>
      <c r="G186" s="7" t="n">
        <f aca="false">B186*가정!$B$28</f>
        <v>0</v>
      </c>
      <c r="H186" s="7" t="n">
        <f aca="false">B186-C186-E186-F186-G186</f>
        <v>26919000</v>
      </c>
      <c r="I186" s="7" t="n">
        <f aca="false">H186-IF(가정!$B$7=1,가정!$B$5,0)</f>
        <v>22919000</v>
      </c>
      <c r="J186" s="7" t="n">
        <f aca="false">MAX(0,I186)*가정!$B$6</f>
        <v>20627100</v>
      </c>
      <c r="K186" s="7" t="n">
        <f aca="false">가정!$B$5+J186</f>
        <v>24627100</v>
      </c>
      <c r="L186" s="7" t="n">
        <f aca="false">H186-K186</f>
        <v>2291900</v>
      </c>
      <c r="M186" s="8" t="n">
        <f aca="false">IF(B186=0,0,K186/B186)</f>
        <v>0.469176986092589</v>
      </c>
      <c r="N186" s="7" t="n">
        <f aca="false">K186/가정!$B$8</f>
        <v>123135.5</v>
      </c>
      <c r="O186" s="7" t="n">
        <f aca="false">IF(I186&gt;0,A186,"")</f>
        <v>181</v>
      </c>
      <c r="P186" s="7" t="n">
        <f aca="false">IF(L186&gt;=0,A186,"")</f>
        <v>181</v>
      </c>
      <c r="Q186" s="7" t="n">
        <f aca="false">IF(K186&gt;=가정!$B$32,A186,"")</f>
        <v>181</v>
      </c>
      <c r="R186" s="7" t="str">
        <f aca="false">IF(MAX(0,I186)*(1-가정!$B$6)*'1억 상환'!$B$6&gt;='1억 상환'!$B$5,A186,"")</f>
        <v/>
      </c>
    </row>
    <row r="187" customFormat="false" ht="15" hidden="false" customHeight="false" outlineLevel="0" collapsed="false">
      <c r="A187" s="7" t="n">
        <v>182</v>
      </c>
      <c r="B187" s="7" t="n">
        <f aca="false">A187*가정!$B$10</f>
        <v>52780000</v>
      </c>
      <c r="C187" s="7" t="n">
        <f aca="false">가정!$B$34</f>
        <v>3590000</v>
      </c>
      <c r="D187" s="7" t="n">
        <f aca="false">ROUNDUP(MAX(0,A187-가정!$B$18)/가정!$B$19,0)</f>
        <v>4</v>
      </c>
      <c r="E187" s="7" t="n">
        <f aca="false">D187*가정!$B$20+ROUNDUP(A187/가정!$B$22,0)*가정!$B$21+ROUNDUP(A187/가정!$B$24,0)*가정!$B$23</f>
        <v>21800000</v>
      </c>
      <c r="F187" s="7" t="n">
        <f aca="false">A187*가정!$B$26+B187*가정!$B$27</f>
        <v>182000</v>
      </c>
      <c r="G187" s="7" t="n">
        <f aca="false">B187*가정!$B$28</f>
        <v>0</v>
      </c>
      <c r="H187" s="7" t="n">
        <f aca="false">B187-C187-E187-F187-G187</f>
        <v>27208000</v>
      </c>
      <c r="I187" s="7" t="n">
        <f aca="false">H187-IF(가정!$B$7=1,가정!$B$5,0)</f>
        <v>23208000</v>
      </c>
      <c r="J187" s="7" t="n">
        <f aca="false">MAX(0,I187)*가정!$B$6</f>
        <v>20887200</v>
      </c>
      <c r="K187" s="7" t="n">
        <f aca="false">가정!$B$5+J187</f>
        <v>24887200</v>
      </c>
      <c r="L187" s="7" t="n">
        <f aca="false">H187-K187</f>
        <v>2320800</v>
      </c>
      <c r="M187" s="8" t="n">
        <f aca="false">IF(B187=0,0,K187/B187)</f>
        <v>0.471527093596059</v>
      </c>
      <c r="N187" s="7" t="n">
        <f aca="false">K187/가정!$B$8</f>
        <v>124436</v>
      </c>
      <c r="O187" s="7" t="n">
        <f aca="false">IF(I187&gt;0,A187,"")</f>
        <v>182</v>
      </c>
      <c r="P187" s="7" t="n">
        <f aca="false">IF(L187&gt;=0,A187,"")</f>
        <v>182</v>
      </c>
      <c r="Q187" s="7" t="n">
        <f aca="false">IF(K187&gt;=가정!$B$32,A187,"")</f>
        <v>182</v>
      </c>
      <c r="R187" s="7" t="str">
        <f aca="false">IF(MAX(0,I187)*(1-가정!$B$6)*'1억 상환'!$B$6&gt;='1억 상환'!$B$5,A187,"")</f>
        <v/>
      </c>
    </row>
    <row r="188" customFormat="false" ht="15" hidden="false" customHeight="false" outlineLevel="0" collapsed="false">
      <c r="A188" s="7" t="n">
        <v>183</v>
      </c>
      <c r="B188" s="7" t="n">
        <f aca="false">A188*가정!$B$10</f>
        <v>53070000</v>
      </c>
      <c r="C188" s="7" t="n">
        <f aca="false">가정!$B$34</f>
        <v>3590000</v>
      </c>
      <c r="D188" s="7" t="n">
        <f aca="false">ROUNDUP(MAX(0,A188-가정!$B$18)/가정!$B$19,0)</f>
        <v>4</v>
      </c>
      <c r="E188" s="7" t="n">
        <f aca="false">D188*가정!$B$20+ROUNDUP(A188/가정!$B$22,0)*가정!$B$21+ROUNDUP(A188/가정!$B$24,0)*가정!$B$23</f>
        <v>21800000</v>
      </c>
      <c r="F188" s="7" t="n">
        <f aca="false">A188*가정!$B$26+B188*가정!$B$27</f>
        <v>183000</v>
      </c>
      <c r="G188" s="7" t="n">
        <f aca="false">B188*가정!$B$28</f>
        <v>0</v>
      </c>
      <c r="H188" s="7" t="n">
        <f aca="false">B188-C188-E188-F188-G188</f>
        <v>27497000</v>
      </c>
      <c r="I188" s="7" t="n">
        <f aca="false">H188-IF(가정!$B$7=1,가정!$B$5,0)</f>
        <v>23497000</v>
      </c>
      <c r="J188" s="7" t="n">
        <f aca="false">MAX(0,I188)*가정!$B$6</f>
        <v>21147300</v>
      </c>
      <c r="K188" s="7" t="n">
        <f aca="false">가정!$B$5+J188</f>
        <v>25147300</v>
      </c>
      <c r="L188" s="7" t="n">
        <f aca="false">H188-K188</f>
        <v>2349700</v>
      </c>
      <c r="M188" s="8" t="n">
        <f aca="false">IF(B188=0,0,K188/B188)</f>
        <v>0.473851516864519</v>
      </c>
      <c r="N188" s="7" t="n">
        <f aca="false">K188/가정!$B$8</f>
        <v>125736.5</v>
      </c>
      <c r="O188" s="7" t="n">
        <f aca="false">IF(I188&gt;0,A188,"")</f>
        <v>183</v>
      </c>
      <c r="P188" s="7" t="n">
        <f aca="false">IF(L188&gt;=0,A188,"")</f>
        <v>183</v>
      </c>
      <c r="Q188" s="7" t="n">
        <f aca="false">IF(K188&gt;=가정!$B$32,A188,"")</f>
        <v>183</v>
      </c>
      <c r="R188" s="7" t="str">
        <f aca="false">IF(MAX(0,I188)*(1-가정!$B$6)*'1억 상환'!$B$6&gt;='1억 상환'!$B$5,A188,"")</f>
        <v/>
      </c>
    </row>
    <row r="189" customFormat="false" ht="15" hidden="false" customHeight="false" outlineLevel="0" collapsed="false">
      <c r="A189" s="7" t="n">
        <v>184</v>
      </c>
      <c r="B189" s="7" t="n">
        <f aca="false">A189*가정!$B$10</f>
        <v>53360000</v>
      </c>
      <c r="C189" s="7" t="n">
        <f aca="false">가정!$B$34</f>
        <v>3590000</v>
      </c>
      <c r="D189" s="7" t="n">
        <f aca="false">ROUNDUP(MAX(0,A189-가정!$B$18)/가정!$B$19,0)</f>
        <v>4</v>
      </c>
      <c r="E189" s="7" t="n">
        <f aca="false">D189*가정!$B$20+ROUNDUP(A189/가정!$B$22,0)*가정!$B$21+ROUNDUP(A189/가정!$B$24,0)*가정!$B$23</f>
        <v>21800000</v>
      </c>
      <c r="F189" s="7" t="n">
        <f aca="false">A189*가정!$B$26+B189*가정!$B$27</f>
        <v>184000</v>
      </c>
      <c r="G189" s="7" t="n">
        <f aca="false">B189*가정!$B$28</f>
        <v>0</v>
      </c>
      <c r="H189" s="7" t="n">
        <f aca="false">B189-C189-E189-F189-G189</f>
        <v>27786000</v>
      </c>
      <c r="I189" s="7" t="n">
        <f aca="false">H189-IF(가정!$B$7=1,가정!$B$5,0)</f>
        <v>23786000</v>
      </c>
      <c r="J189" s="7" t="n">
        <f aca="false">MAX(0,I189)*가정!$B$6</f>
        <v>21407400</v>
      </c>
      <c r="K189" s="7" t="n">
        <f aca="false">가정!$B$5+J189</f>
        <v>25407400</v>
      </c>
      <c r="L189" s="7" t="n">
        <f aca="false">H189-K189</f>
        <v>2378600</v>
      </c>
      <c r="M189" s="8" t="n">
        <f aca="false">IF(B189=0,0,K189/B189)</f>
        <v>0.476150674662669</v>
      </c>
      <c r="N189" s="7" t="n">
        <f aca="false">K189/가정!$B$8</f>
        <v>127037</v>
      </c>
      <c r="O189" s="7" t="n">
        <f aca="false">IF(I189&gt;0,A189,"")</f>
        <v>184</v>
      </c>
      <c r="P189" s="7" t="n">
        <f aca="false">IF(L189&gt;=0,A189,"")</f>
        <v>184</v>
      </c>
      <c r="Q189" s="7" t="n">
        <f aca="false">IF(K189&gt;=가정!$B$32,A189,"")</f>
        <v>184</v>
      </c>
      <c r="R189" s="7" t="str">
        <f aca="false">IF(MAX(0,I189)*(1-가정!$B$6)*'1억 상환'!$B$6&gt;='1억 상환'!$B$5,A189,"")</f>
        <v/>
      </c>
    </row>
    <row r="190" customFormat="false" ht="15" hidden="false" customHeight="false" outlineLevel="0" collapsed="false">
      <c r="A190" s="7" t="n">
        <v>185</v>
      </c>
      <c r="B190" s="7" t="n">
        <f aca="false">A190*가정!$B$10</f>
        <v>53650000</v>
      </c>
      <c r="C190" s="7" t="n">
        <f aca="false">가정!$B$34</f>
        <v>3590000</v>
      </c>
      <c r="D190" s="7" t="n">
        <f aca="false">ROUNDUP(MAX(0,A190-가정!$B$18)/가정!$B$19,0)</f>
        <v>4</v>
      </c>
      <c r="E190" s="7" t="n">
        <f aca="false">D190*가정!$B$20+ROUNDUP(A190/가정!$B$22,0)*가정!$B$21+ROUNDUP(A190/가정!$B$24,0)*가정!$B$23</f>
        <v>21800000</v>
      </c>
      <c r="F190" s="7" t="n">
        <f aca="false">A190*가정!$B$26+B190*가정!$B$27</f>
        <v>185000</v>
      </c>
      <c r="G190" s="7" t="n">
        <f aca="false">B190*가정!$B$28</f>
        <v>0</v>
      </c>
      <c r="H190" s="7" t="n">
        <f aca="false">B190-C190-E190-F190-G190</f>
        <v>28075000</v>
      </c>
      <c r="I190" s="7" t="n">
        <f aca="false">H190-IF(가정!$B$7=1,가정!$B$5,0)</f>
        <v>24075000</v>
      </c>
      <c r="J190" s="7" t="n">
        <f aca="false">MAX(0,I190)*가정!$B$6</f>
        <v>21667500</v>
      </c>
      <c r="K190" s="7" t="n">
        <f aca="false">가정!$B$5+J190</f>
        <v>25667500</v>
      </c>
      <c r="L190" s="7" t="n">
        <f aca="false">H190-K190</f>
        <v>2407500</v>
      </c>
      <c r="M190" s="8" t="n">
        <f aca="false">IF(B190=0,0,K190/B190)</f>
        <v>0.478424976700839</v>
      </c>
      <c r="N190" s="7" t="n">
        <f aca="false">K190/가정!$B$8</f>
        <v>128337.5</v>
      </c>
      <c r="O190" s="7" t="n">
        <f aca="false">IF(I190&gt;0,A190,"")</f>
        <v>185</v>
      </c>
      <c r="P190" s="7" t="n">
        <f aca="false">IF(L190&gt;=0,A190,"")</f>
        <v>185</v>
      </c>
      <c r="Q190" s="7" t="n">
        <f aca="false">IF(K190&gt;=가정!$B$32,A190,"")</f>
        <v>185</v>
      </c>
      <c r="R190" s="7" t="str">
        <f aca="false">IF(MAX(0,I190)*(1-가정!$B$6)*'1억 상환'!$B$6&gt;='1억 상환'!$B$5,A190,"")</f>
        <v/>
      </c>
    </row>
    <row r="191" customFormat="false" ht="15" hidden="false" customHeight="false" outlineLevel="0" collapsed="false">
      <c r="A191" s="7" t="n">
        <v>186</v>
      </c>
      <c r="B191" s="7" t="n">
        <f aca="false">A191*가정!$B$10</f>
        <v>53940000</v>
      </c>
      <c r="C191" s="7" t="n">
        <f aca="false">가정!$B$34</f>
        <v>3590000</v>
      </c>
      <c r="D191" s="7" t="n">
        <f aca="false">ROUNDUP(MAX(0,A191-가정!$B$18)/가정!$B$19,0)</f>
        <v>4</v>
      </c>
      <c r="E191" s="7" t="n">
        <f aca="false">D191*가정!$B$20+ROUNDUP(A191/가정!$B$22,0)*가정!$B$21+ROUNDUP(A191/가정!$B$24,0)*가정!$B$23</f>
        <v>21800000</v>
      </c>
      <c r="F191" s="7" t="n">
        <f aca="false">A191*가정!$B$26+B191*가정!$B$27</f>
        <v>186000</v>
      </c>
      <c r="G191" s="7" t="n">
        <f aca="false">B191*가정!$B$28</f>
        <v>0</v>
      </c>
      <c r="H191" s="7" t="n">
        <f aca="false">B191-C191-E191-F191-G191</f>
        <v>28364000</v>
      </c>
      <c r="I191" s="7" t="n">
        <f aca="false">H191-IF(가정!$B$7=1,가정!$B$5,0)</f>
        <v>24364000</v>
      </c>
      <c r="J191" s="7" t="n">
        <f aca="false">MAX(0,I191)*가정!$B$6</f>
        <v>21927600</v>
      </c>
      <c r="K191" s="7" t="n">
        <f aca="false">가정!$B$5+J191</f>
        <v>25927600</v>
      </c>
      <c r="L191" s="7" t="n">
        <f aca="false">H191-K191</f>
        <v>2436400</v>
      </c>
      <c r="M191" s="8" t="n">
        <f aca="false">IF(B191=0,0,K191/B191)</f>
        <v>0.480674823878383</v>
      </c>
      <c r="N191" s="7" t="n">
        <f aca="false">K191/가정!$B$8</f>
        <v>129638</v>
      </c>
      <c r="O191" s="7" t="n">
        <f aca="false">IF(I191&gt;0,A191,"")</f>
        <v>186</v>
      </c>
      <c r="P191" s="7" t="n">
        <f aca="false">IF(L191&gt;=0,A191,"")</f>
        <v>186</v>
      </c>
      <c r="Q191" s="7" t="n">
        <f aca="false">IF(K191&gt;=가정!$B$32,A191,"")</f>
        <v>186</v>
      </c>
      <c r="R191" s="7" t="str">
        <f aca="false">IF(MAX(0,I191)*(1-가정!$B$6)*'1억 상환'!$B$6&gt;='1억 상환'!$B$5,A191,"")</f>
        <v/>
      </c>
    </row>
    <row r="192" customFormat="false" ht="15" hidden="false" customHeight="false" outlineLevel="0" collapsed="false">
      <c r="A192" s="7" t="n">
        <v>187</v>
      </c>
      <c r="B192" s="7" t="n">
        <f aca="false">A192*가정!$B$10</f>
        <v>54230000</v>
      </c>
      <c r="C192" s="7" t="n">
        <f aca="false">가정!$B$34</f>
        <v>3590000</v>
      </c>
      <c r="D192" s="7" t="n">
        <f aca="false">ROUNDUP(MAX(0,A192-가정!$B$18)/가정!$B$19,0)</f>
        <v>4</v>
      </c>
      <c r="E192" s="7" t="n">
        <f aca="false">D192*가정!$B$20+ROUNDUP(A192/가정!$B$22,0)*가정!$B$21+ROUNDUP(A192/가정!$B$24,0)*가정!$B$23</f>
        <v>21800000</v>
      </c>
      <c r="F192" s="7" t="n">
        <f aca="false">A192*가정!$B$26+B192*가정!$B$27</f>
        <v>187000</v>
      </c>
      <c r="G192" s="7" t="n">
        <f aca="false">B192*가정!$B$28</f>
        <v>0</v>
      </c>
      <c r="H192" s="7" t="n">
        <f aca="false">B192-C192-E192-F192-G192</f>
        <v>28653000</v>
      </c>
      <c r="I192" s="7" t="n">
        <f aca="false">H192-IF(가정!$B$7=1,가정!$B$5,0)</f>
        <v>24653000</v>
      </c>
      <c r="J192" s="7" t="n">
        <f aca="false">MAX(0,I192)*가정!$B$6</f>
        <v>22187700</v>
      </c>
      <c r="K192" s="7" t="n">
        <f aca="false">가정!$B$5+J192</f>
        <v>26187700</v>
      </c>
      <c r="L192" s="7" t="n">
        <f aca="false">H192-K192</f>
        <v>2465300</v>
      </c>
      <c r="M192" s="8" t="n">
        <f aca="false">IF(B192=0,0,K192/B192)</f>
        <v>0.48290060851927</v>
      </c>
      <c r="N192" s="7" t="n">
        <f aca="false">K192/가정!$B$8</f>
        <v>130938.5</v>
      </c>
      <c r="O192" s="7" t="n">
        <f aca="false">IF(I192&gt;0,A192,"")</f>
        <v>187</v>
      </c>
      <c r="P192" s="7" t="n">
        <f aca="false">IF(L192&gt;=0,A192,"")</f>
        <v>187</v>
      </c>
      <c r="Q192" s="7" t="n">
        <f aca="false">IF(K192&gt;=가정!$B$32,A192,"")</f>
        <v>187</v>
      </c>
      <c r="R192" s="7" t="str">
        <f aca="false">IF(MAX(0,I192)*(1-가정!$B$6)*'1억 상환'!$B$6&gt;='1억 상환'!$B$5,A192,"")</f>
        <v/>
      </c>
    </row>
    <row r="193" customFormat="false" ht="15" hidden="false" customHeight="false" outlineLevel="0" collapsed="false">
      <c r="A193" s="7" t="n">
        <v>188</v>
      </c>
      <c r="B193" s="7" t="n">
        <f aca="false">A193*가정!$B$10</f>
        <v>54520000</v>
      </c>
      <c r="C193" s="7" t="n">
        <f aca="false">가정!$B$34</f>
        <v>3590000</v>
      </c>
      <c r="D193" s="7" t="n">
        <f aca="false">ROUNDUP(MAX(0,A193-가정!$B$18)/가정!$B$19,0)</f>
        <v>4</v>
      </c>
      <c r="E193" s="7" t="n">
        <f aca="false">D193*가정!$B$20+ROUNDUP(A193/가정!$B$22,0)*가정!$B$21+ROUNDUP(A193/가정!$B$24,0)*가정!$B$23</f>
        <v>21800000</v>
      </c>
      <c r="F193" s="7" t="n">
        <f aca="false">A193*가정!$B$26+B193*가정!$B$27</f>
        <v>188000</v>
      </c>
      <c r="G193" s="7" t="n">
        <f aca="false">B193*가정!$B$28</f>
        <v>0</v>
      </c>
      <c r="H193" s="7" t="n">
        <f aca="false">B193-C193-E193-F193-G193</f>
        <v>28942000</v>
      </c>
      <c r="I193" s="7" t="n">
        <f aca="false">H193-IF(가정!$B$7=1,가정!$B$5,0)</f>
        <v>24942000</v>
      </c>
      <c r="J193" s="7" t="n">
        <f aca="false">MAX(0,I193)*가정!$B$6</f>
        <v>22447800</v>
      </c>
      <c r="K193" s="7" t="n">
        <f aca="false">가정!$B$5+J193</f>
        <v>26447800</v>
      </c>
      <c r="L193" s="7" t="n">
        <f aca="false">H193-K193</f>
        <v>2494200</v>
      </c>
      <c r="M193" s="8" t="n">
        <f aca="false">IF(B193=0,0,K193/B193)</f>
        <v>0.485102714600147</v>
      </c>
      <c r="N193" s="7" t="n">
        <f aca="false">K193/가정!$B$8</f>
        <v>132239</v>
      </c>
      <c r="O193" s="7" t="n">
        <f aca="false">IF(I193&gt;0,A193,"")</f>
        <v>188</v>
      </c>
      <c r="P193" s="7" t="n">
        <f aca="false">IF(L193&gt;=0,A193,"")</f>
        <v>188</v>
      </c>
      <c r="Q193" s="7" t="n">
        <f aca="false">IF(K193&gt;=가정!$B$32,A193,"")</f>
        <v>188</v>
      </c>
      <c r="R193" s="7" t="str">
        <f aca="false">IF(MAX(0,I193)*(1-가정!$B$6)*'1억 상환'!$B$6&gt;='1억 상환'!$B$5,A193,"")</f>
        <v/>
      </c>
    </row>
    <row r="194" customFormat="false" ht="15" hidden="false" customHeight="false" outlineLevel="0" collapsed="false">
      <c r="A194" s="7" t="n">
        <v>189</v>
      </c>
      <c r="B194" s="7" t="n">
        <f aca="false">A194*가정!$B$10</f>
        <v>54810000</v>
      </c>
      <c r="C194" s="7" t="n">
        <f aca="false">가정!$B$34</f>
        <v>3590000</v>
      </c>
      <c r="D194" s="7" t="n">
        <f aca="false">ROUNDUP(MAX(0,A194-가정!$B$18)/가정!$B$19,0)</f>
        <v>4</v>
      </c>
      <c r="E194" s="7" t="n">
        <f aca="false">D194*가정!$B$20+ROUNDUP(A194/가정!$B$22,0)*가정!$B$21+ROUNDUP(A194/가정!$B$24,0)*가정!$B$23</f>
        <v>21800000</v>
      </c>
      <c r="F194" s="7" t="n">
        <f aca="false">A194*가정!$B$26+B194*가정!$B$27</f>
        <v>189000</v>
      </c>
      <c r="G194" s="7" t="n">
        <f aca="false">B194*가정!$B$28</f>
        <v>0</v>
      </c>
      <c r="H194" s="7" t="n">
        <f aca="false">B194-C194-E194-F194-G194</f>
        <v>29231000</v>
      </c>
      <c r="I194" s="7" t="n">
        <f aca="false">H194-IF(가정!$B$7=1,가정!$B$5,0)</f>
        <v>25231000</v>
      </c>
      <c r="J194" s="7" t="n">
        <f aca="false">MAX(0,I194)*가정!$B$6</f>
        <v>22707900</v>
      </c>
      <c r="K194" s="7" t="n">
        <f aca="false">가정!$B$5+J194</f>
        <v>26707900</v>
      </c>
      <c r="L194" s="7" t="n">
        <f aca="false">H194-K194</f>
        <v>2523100</v>
      </c>
      <c r="M194" s="8" t="n">
        <f aca="false">IF(B194=0,0,K194/B194)</f>
        <v>0.487281517971173</v>
      </c>
      <c r="N194" s="7" t="n">
        <f aca="false">K194/가정!$B$8</f>
        <v>133539.5</v>
      </c>
      <c r="O194" s="7" t="n">
        <f aca="false">IF(I194&gt;0,A194,"")</f>
        <v>189</v>
      </c>
      <c r="P194" s="7" t="n">
        <f aca="false">IF(L194&gt;=0,A194,"")</f>
        <v>189</v>
      </c>
      <c r="Q194" s="7" t="n">
        <f aca="false">IF(K194&gt;=가정!$B$32,A194,"")</f>
        <v>189</v>
      </c>
      <c r="R194" s="7" t="str">
        <f aca="false">IF(MAX(0,I194)*(1-가정!$B$6)*'1억 상환'!$B$6&gt;='1억 상환'!$B$5,A194,"")</f>
        <v/>
      </c>
    </row>
    <row r="195" customFormat="false" ht="15" hidden="false" customHeight="false" outlineLevel="0" collapsed="false">
      <c r="A195" s="7" t="n">
        <v>190</v>
      </c>
      <c r="B195" s="7" t="n">
        <f aca="false">A195*가정!$B$10</f>
        <v>55100000</v>
      </c>
      <c r="C195" s="7" t="n">
        <f aca="false">가정!$B$34</f>
        <v>3590000</v>
      </c>
      <c r="D195" s="7" t="n">
        <f aca="false">ROUNDUP(MAX(0,A195-가정!$B$18)/가정!$B$19,0)</f>
        <v>4</v>
      </c>
      <c r="E195" s="7" t="n">
        <f aca="false">D195*가정!$B$20+ROUNDUP(A195/가정!$B$22,0)*가정!$B$21+ROUNDUP(A195/가정!$B$24,0)*가정!$B$23</f>
        <v>21800000</v>
      </c>
      <c r="F195" s="7" t="n">
        <f aca="false">A195*가정!$B$26+B195*가정!$B$27</f>
        <v>190000</v>
      </c>
      <c r="G195" s="7" t="n">
        <f aca="false">B195*가정!$B$28</f>
        <v>0</v>
      </c>
      <c r="H195" s="7" t="n">
        <f aca="false">B195-C195-E195-F195-G195</f>
        <v>29520000</v>
      </c>
      <c r="I195" s="7" t="n">
        <f aca="false">H195-IF(가정!$B$7=1,가정!$B$5,0)</f>
        <v>25520000</v>
      </c>
      <c r="J195" s="7" t="n">
        <f aca="false">MAX(0,I195)*가정!$B$6</f>
        <v>22968000</v>
      </c>
      <c r="K195" s="7" t="n">
        <f aca="false">가정!$B$5+J195</f>
        <v>26968000</v>
      </c>
      <c r="L195" s="7" t="n">
        <f aca="false">H195-K195</f>
        <v>2552000</v>
      </c>
      <c r="M195" s="8" t="n">
        <f aca="false">IF(B195=0,0,K195/B195)</f>
        <v>0.489437386569873</v>
      </c>
      <c r="N195" s="7" t="n">
        <f aca="false">K195/가정!$B$8</f>
        <v>134840</v>
      </c>
      <c r="O195" s="7" t="n">
        <f aca="false">IF(I195&gt;0,A195,"")</f>
        <v>190</v>
      </c>
      <c r="P195" s="7" t="n">
        <f aca="false">IF(L195&gt;=0,A195,"")</f>
        <v>190</v>
      </c>
      <c r="Q195" s="7" t="n">
        <f aca="false">IF(K195&gt;=가정!$B$32,A195,"")</f>
        <v>190</v>
      </c>
      <c r="R195" s="7" t="str">
        <f aca="false">IF(MAX(0,I195)*(1-가정!$B$6)*'1억 상환'!$B$6&gt;='1억 상환'!$B$5,A195,"")</f>
        <v/>
      </c>
    </row>
    <row r="196" customFormat="false" ht="15" hidden="false" customHeight="false" outlineLevel="0" collapsed="false">
      <c r="A196" s="7" t="n">
        <v>191</v>
      </c>
      <c r="B196" s="7" t="n">
        <f aca="false">A196*가정!$B$10</f>
        <v>55390000</v>
      </c>
      <c r="C196" s="7" t="n">
        <f aca="false">가정!$B$34</f>
        <v>3590000</v>
      </c>
      <c r="D196" s="7" t="n">
        <f aca="false">ROUNDUP(MAX(0,A196-가정!$B$18)/가정!$B$19,0)</f>
        <v>4</v>
      </c>
      <c r="E196" s="7" t="n">
        <f aca="false">D196*가정!$B$20+ROUNDUP(A196/가정!$B$22,0)*가정!$B$21+ROUNDUP(A196/가정!$B$24,0)*가정!$B$23</f>
        <v>21800000</v>
      </c>
      <c r="F196" s="7" t="n">
        <f aca="false">A196*가정!$B$26+B196*가정!$B$27</f>
        <v>191000</v>
      </c>
      <c r="G196" s="7" t="n">
        <f aca="false">B196*가정!$B$28</f>
        <v>0</v>
      </c>
      <c r="H196" s="7" t="n">
        <f aca="false">B196-C196-E196-F196-G196</f>
        <v>29809000</v>
      </c>
      <c r="I196" s="7" t="n">
        <f aca="false">H196-IF(가정!$B$7=1,가정!$B$5,0)</f>
        <v>25809000</v>
      </c>
      <c r="J196" s="7" t="n">
        <f aca="false">MAX(0,I196)*가정!$B$6</f>
        <v>23228100</v>
      </c>
      <c r="K196" s="7" t="n">
        <f aca="false">가정!$B$5+J196</f>
        <v>27228100</v>
      </c>
      <c r="L196" s="7" t="n">
        <f aca="false">H196-K196</f>
        <v>2580900</v>
      </c>
      <c r="M196" s="8" t="n">
        <f aca="false">IF(B196=0,0,K196/B196)</f>
        <v>0.491570680628272</v>
      </c>
      <c r="N196" s="7" t="n">
        <f aca="false">K196/가정!$B$8</f>
        <v>136140.5</v>
      </c>
      <c r="O196" s="7" t="n">
        <f aca="false">IF(I196&gt;0,A196,"")</f>
        <v>191</v>
      </c>
      <c r="P196" s="7" t="n">
        <f aca="false">IF(L196&gt;=0,A196,"")</f>
        <v>191</v>
      </c>
      <c r="Q196" s="7" t="n">
        <f aca="false">IF(K196&gt;=가정!$B$32,A196,"")</f>
        <v>191</v>
      </c>
      <c r="R196" s="7" t="str">
        <f aca="false">IF(MAX(0,I196)*(1-가정!$B$6)*'1억 상환'!$B$6&gt;='1억 상환'!$B$5,A196,"")</f>
        <v/>
      </c>
    </row>
    <row r="197" customFormat="false" ht="15" hidden="false" customHeight="false" outlineLevel="0" collapsed="false">
      <c r="A197" s="7" t="n">
        <v>192</v>
      </c>
      <c r="B197" s="7" t="n">
        <f aca="false">A197*가정!$B$10</f>
        <v>55680000</v>
      </c>
      <c r="C197" s="7" t="n">
        <f aca="false">가정!$B$34</f>
        <v>3590000</v>
      </c>
      <c r="D197" s="7" t="n">
        <f aca="false">ROUNDUP(MAX(0,A197-가정!$B$18)/가정!$B$19,0)</f>
        <v>4</v>
      </c>
      <c r="E197" s="7" t="n">
        <f aca="false">D197*가정!$B$20+ROUNDUP(A197/가정!$B$22,0)*가정!$B$21+ROUNDUP(A197/가정!$B$24,0)*가정!$B$23</f>
        <v>21800000</v>
      </c>
      <c r="F197" s="7" t="n">
        <f aca="false">A197*가정!$B$26+B197*가정!$B$27</f>
        <v>192000</v>
      </c>
      <c r="G197" s="7" t="n">
        <f aca="false">B197*가정!$B$28</f>
        <v>0</v>
      </c>
      <c r="H197" s="7" t="n">
        <f aca="false">B197-C197-E197-F197-G197</f>
        <v>30098000</v>
      </c>
      <c r="I197" s="7" t="n">
        <f aca="false">H197-IF(가정!$B$7=1,가정!$B$5,0)</f>
        <v>26098000</v>
      </c>
      <c r="J197" s="7" t="n">
        <f aca="false">MAX(0,I197)*가정!$B$6</f>
        <v>23488200</v>
      </c>
      <c r="K197" s="7" t="n">
        <f aca="false">가정!$B$5+J197</f>
        <v>27488200</v>
      </c>
      <c r="L197" s="7" t="n">
        <f aca="false">H197-K197</f>
        <v>2609800</v>
      </c>
      <c r="M197" s="8" t="n">
        <f aca="false">IF(B197=0,0,K197/B197)</f>
        <v>0.493681752873563</v>
      </c>
      <c r="N197" s="7" t="n">
        <f aca="false">K197/가정!$B$8</f>
        <v>137441</v>
      </c>
      <c r="O197" s="7" t="n">
        <f aca="false">IF(I197&gt;0,A197,"")</f>
        <v>192</v>
      </c>
      <c r="P197" s="7" t="n">
        <f aca="false">IF(L197&gt;=0,A197,"")</f>
        <v>192</v>
      </c>
      <c r="Q197" s="7" t="n">
        <f aca="false">IF(K197&gt;=가정!$B$32,A197,"")</f>
        <v>192</v>
      </c>
      <c r="R197" s="7" t="str">
        <f aca="false">IF(MAX(0,I197)*(1-가정!$B$6)*'1억 상환'!$B$6&gt;='1억 상환'!$B$5,A197,"")</f>
        <v/>
      </c>
    </row>
    <row r="198" customFormat="false" ht="15" hidden="false" customHeight="false" outlineLevel="0" collapsed="false">
      <c r="A198" s="7" t="n">
        <v>193</v>
      </c>
      <c r="B198" s="7" t="n">
        <f aca="false">A198*가정!$B$10</f>
        <v>55970000</v>
      </c>
      <c r="C198" s="7" t="n">
        <f aca="false">가정!$B$34</f>
        <v>3590000</v>
      </c>
      <c r="D198" s="7" t="n">
        <f aca="false">ROUNDUP(MAX(0,A198-가정!$B$18)/가정!$B$19,0)</f>
        <v>4</v>
      </c>
      <c r="E198" s="7" t="n">
        <f aca="false">D198*가정!$B$20+ROUNDUP(A198/가정!$B$22,0)*가정!$B$21+ROUNDUP(A198/가정!$B$24,0)*가정!$B$23</f>
        <v>21800000</v>
      </c>
      <c r="F198" s="7" t="n">
        <f aca="false">A198*가정!$B$26+B198*가정!$B$27</f>
        <v>193000</v>
      </c>
      <c r="G198" s="7" t="n">
        <f aca="false">B198*가정!$B$28</f>
        <v>0</v>
      </c>
      <c r="H198" s="7" t="n">
        <f aca="false">B198-C198-E198-F198-G198</f>
        <v>30387000</v>
      </c>
      <c r="I198" s="7" t="n">
        <f aca="false">H198-IF(가정!$B$7=1,가정!$B$5,0)</f>
        <v>26387000</v>
      </c>
      <c r="J198" s="7" t="n">
        <f aca="false">MAX(0,I198)*가정!$B$6</f>
        <v>23748300</v>
      </c>
      <c r="K198" s="7" t="n">
        <f aca="false">가정!$B$5+J198</f>
        <v>27748300</v>
      </c>
      <c r="L198" s="7" t="n">
        <f aca="false">H198-K198</f>
        <v>2638700</v>
      </c>
      <c r="M198" s="8" t="n">
        <f aca="false">IF(B198=0,0,K198/B198)</f>
        <v>0.49577094872253</v>
      </c>
      <c r="N198" s="7" t="n">
        <f aca="false">K198/가정!$B$8</f>
        <v>138741.5</v>
      </c>
      <c r="O198" s="7" t="n">
        <f aca="false">IF(I198&gt;0,A198,"")</f>
        <v>193</v>
      </c>
      <c r="P198" s="7" t="n">
        <f aca="false">IF(L198&gt;=0,A198,"")</f>
        <v>193</v>
      </c>
      <c r="Q198" s="7" t="n">
        <f aca="false">IF(K198&gt;=가정!$B$32,A198,"")</f>
        <v>193</v>
      </c>
      <c r="R198" s="7" t="str">
        <f aca="false">IF(MAX(0,I198)*(1-가정!$B$6)*'1억 상환'!$B$6&gt;='1억 상환'!$B$5,A198,"")</f>
        <v/>
      </c>
    </row>
    <row r="199" customFormat="false" ht="15" hidden="false" customHeight="false" outlineLevel="0" collapsed="false">
      <c r="A199" s="7" t="n">
        <v>194</v>
      </c>
      <c r="B199" s="7" t="n">
        <f aca="false">A199*가정!$B$10</f>
        <v>56260000</v>
      </c>
      <c r="C199" s="7" t="n">
        <f aca="false">가정!$B$34</f>
        <v>3590000</v>
      </c>
      <c r="D199" s="7" t="n">
        <f aca="false">ROUNDUP(MAX(0,A199-가정!$B$18)/가정!$B$19,0)</f>
        <v>4</v>
      </c>
      <c r="E199" s="7" t="n">
        <f aca="false">D199*가정!$B$20+ROUNDUP(A199/가정!$B$22,0)*가정!$B$21+ROUNDUP(A199/가정!$B$24,0)*가정!$B$23</f>
        <v>21800000</v>
      </c>
      <c r="F199" s="7" t="n">
        <f aca="false">A199*가정!$B$26+B199*가정!$B$27</f>
        <v>194000</v>
      </c>
      <c r="G199" s="7" t="n">
        <f aca="false">B199*가정!$B$28</f>
        <v>0</v>
      </c>
      <c r="H199" s="7" t="n">
        <f aca="false">B199-C199-E199-F199-G199</f>
        <v>30676000</v>
      </c>
      <c r="I199" s="7" t="n">
        <f aca="false">H199-IF(가정!$B$7=1,가정!$B$5,0)</f>
        <v>26676000</v>
      </c>
      <c r="J199" s="7" t="n">
        <f aca="false">MAX(0,I199)*가정!$B$6</f>
        <v>24008400</v>
      </c>
      <c r="K199" s="7" t="n">
        <f aca="false">가정!$B$5+J199</f>
        <v>28008400</v>
      </c>
      <c r="L199" s="7" t="n">
        <f aca="false">H199-K199</f>
        <v>2667600</v>
      </c>
      <c r="M199" s="8" t="n">
        <f aca="false">IF(B199=0,0,K199/B199)</f>
        <v>0.497838606469961</v>
      </c>
      <c r="N199" s="7" t="n">
        <f aca="false">K199/가정!$B$8</f>
        <v>140042</v>
      </c>
      <c r="O199" s="7" t="n">
        <f aca="false">IF(I199&gt;0,A199,"")</f>
        <v>194</v>
      </c>
      <c r="P199" s="7" t="n">
        <f aca="false">IF(L199&gt;=0,A199,"")</f>
        <v>194</v>
      </c>
      <c r="Q199" s="7" t="n">
        <f aca="false">IF(K199&gt;=가정!$B$32,A199,"")</f>
        <v>194</v>
      </c>
      <c r="R199" s="7" t="str">
        <f aca="false">IF(MAX(0,I199)*(1-가정!$B$6)*'1억 상환'!$B$6&gt;='1억 상환'!$B$5,A199,"")</f>
        <v/>
      </c>
    </row>
    <row r="200" customFormat="false" ht="15" hidden="false" customHeight="false" outlineLevel="0" collapsed="false">
      <c r="A200" s="7" t="n">
        <v>195</v>
      </c>
      <c r="B200" s="7" t="n">
        <f aca="false">A200*가정!$B$10</f>
        <v>56550000</v>
      </c>
      <c r="C200" s="7" t="n">
        <f aca="false">가정!$B$34</f>
        <v>3590000</v>
      </c>
      <c r="D200" s="7" t="n">
        <f aca="false">ROUNDUP(MAX(0,A200-가정!$B$18)/가정!$B$19,0)</f>
        <v>4</v>
      </c>
      <c r="E200" s="7" t="n">
        <f aca="false">D200*가정!$B$20+ROUNDUP(A200/가정!$B$22,0)*가정!$B$21+ROUNDUP(A200/가정!$B$24,0)*가정!$B$23</f>
        <v>21800000</v>
      </c>
      <c r="F200" s="7" t="n">
        <f aca="false">A200*가정!$B$26+B200*가정!$B$27</f>
        <v>195000</v>
      </c>
      <c r="G200" s="7" t="n">
        <f aca="false">B200*가정!$B$28</f>
        <v>0</v>
      </c>
      <c r="H200" s="7" t="n">
        <f aca="false">B200-C200-E200-F200-G200</f>
        <v>30965000</v>
      </c>
      <c r="I200" s="7" t="n">
        <f aca="false">H200-IF(가정!$B$7=1,가정!$B$5,0)</f>
        <v>26965000</v>
      </c>
      <c r="J200" s="7" t="n">
        <f aca="false">MAX(0,I200)*가정!$B$6</f>
        <v>24268500</v>
      </c>
      <c r="K200" s="7" t="n">
        <f aca="false">가정!$B$5+J200</f>
        <v>28268500</v>
      </c>
      <c r="L200" s="7" t="n">
        <f aca="false">H200-K200</f>
        <v>2696500</v>
      </c>
      <c r="M200" s="8" t="n">
        <f aca="false">IF(B200=0,0,K200/B200)</f>
        <v>0.499885057471264</v>
      </c>
      <c r="N200" s="7" t="n">
        <f aca="false">K200/가정!$B$8</f>
        <v>141342.5</v>
      </c>
      <c r="O200" s="7" t="n">
        <f aca="false">IF(I200&gt;0,A200,"")</f>
        <v>195</v>
      </c>
      <c r="P200" s="7" t="n">
        <f aca="false">IF(L200&gt;=0,A200,"")</f>
        <v>195</v>
      </c>
      <c r="Q200" s="7" t="n">
        <f aca="false">IF(K200&gt;=가정!$B$32,A200,"")</f>
        <v>195</v>
      </c>
      <c r="R200" s="7" t="str">
        <f aca="false">IF(MAX(0,I200)*(1-가정!$B$6)*'1억 상환'!$B$6&gt;='1억 상환'!$B$5,A200,"")</f>
        <v/>
      </c>
    </row>
    <row r="201" customFormat="false" ht="15" hidden="false" customHeight="false" outlineLevel="0" collapsed="false">
      <c r="A201" s="7" t="n">
        <v>196</v>
      </c>
      <c r="B201" s="7" t="n">
        <f aca="false">A201*가정!$B$10</f>
        <v>56840000</v>
      </c>
      <c r="C201" s="7" t="n">
        <f aca="false">가정!$B$34</f>
        <v>3590000</v>
      </c>
      <c r="D201" s="7" t="n">
        <f aca="false">ROUNDUP(MAX(0,A201-가정!$B$18)/가정!$B$19,0)</f>
        <v>4</v>
      </c>
      <c r="E201" s="7" t="n">
        <f aca="false">D201*가정!$B$20+ROUNDUP(A201/가정!$B$22,0)*가정!$B$21+ROUNDUP(A201/가정!$B$24,0)*가정!$B$23</f>
        <v>21800000</v>
      </c>
      <c r="F201" s="7" t="n">
        <f aca="false">A201*가정!$B$26+B201*가정!$B$27</f>
        <v>196000</v>
      </c>
      <c r="G201" s="7" t="n">
        <f aca="false">B201*가정!$B$28</f>
        <v>0</v>
      </c>
      <c r="H201" s="7" t="n">
        <f aca="false">B201-C201-E201-F201-G201</f>
        <v>31254000</v>
      </c>
      <c r="I201" s="7" t="n">
        <f aca="false">H201-IF(가정!$B$7=1,가정!$B$5,0)</f>
        <v>27254000</v>
      </c>
      <c r="J201" s="7" t="n">
        <f aca="false">MAX(0,I201)*가정!$B$6</f>
        <v>24528600</v>
      </c>
      <c r="K201" s="7" t="n">
        <f aca="false">가정!$B$5+J201</f>
        <v>28528600</v>
      </c>
      <c r="L201" s="7" t="n">
        <f aca="false">H201-K201</f>
        <v>2725400</v>
      </c>
      <c r="M201" s="8" t="n">
        <f aca="false">IF(B201=0,0,K201/B201)</f>
        <v>0.501910626319493</v>
      </c>
      <c r="N201" s="7" t="n">
        <f aca="false">K201/가정!$B$8</f>
        <v>142643</v>
      </c>
      <c r="O201" s="7" t="n">
        <f aca="false">IF(I201&gt;0,A201,"")</f>
        <v>196</v>
      </c>
      <c r="P201" s="7" t="n">
        <f aca="false">IF(L201&gt;=0,A201,"")</f>
        <v>196</v>
      </c>
      <c r="Q201" s="7" t="n">
        <f aca="false">IF(K201&gt;=가정!$B$32,A201,"")</f>
        <v>196</v>
      </c>
      <c r="R201" s="7" t="str">
        <f aca="false">IF(MAX(0,I201)*(1-가정!$B$6)*'1억 상환'!$B$6&gt;='1억 상환'!$B$5,A201,"")</f>
        <v/>
      </c>
    </row>
    <row r="202" customFormat="false" ht="15" hidden="false" customHeight="false" outlineLevel="0" collapsed="false">
      <c r="A202" s="7" t="n">
        <v>197</v>
      </c>
      <c r="B202" s="7" t="n">
        <f aca="false">A202*가정!$B$10</f>
        <v>57130000</v>
      </c>
      <c r="C202" s="7" t="n">
        <f aca="false">가정!$B$34</f>
        <v>3590000</v>
      </c>
      <c r="D202" s="7" t="n">
        <f aca="false">ROUNDUP(MAX(0,A202-가정!$B$18)/가정!$B$19,0)</f>
        <v>4</v>
      </c>
      <c r="E202" s="7" t="n">
        <f aca="false">D202*가정!$B$20+ROUNDUP(A202/가정!$B$22,0)*가정!$B$21+ROUNDUP(A202/가정!$B$24,0)*가정!$B$23</f>
        <v>21800000</v>
      </c>
      <c r="F202" s="7" t="n">
        <f aca="false">A202*가정!$B$26+B202*가정!$B$27</f>
        <v>197000</v>
      </c>
      <c r="G202" s="7" t="n">
        <f aca="false">B202*가정!$B$28</f>
        <v>0</v>
      </c>
      <c r="H202" s="7" t="n">
        <f aca="false">B202-C202-E202-F202-G202</f>
        <v>31543000</v>
      </c>
      <c r="I202" s="7" t="n">
        <f aca="false">H202-IF(가정!$B$7=1,가정!$B$5,0)</f>
        <v>27543000</v>
      </c>
      <c r="J202" s="7" t="n">
        <f aca="false">MAX(0,I202)*가정!$B$6</f>
        <v>24788700</v>
      </c>
      <c r="K202" s="7" t="n">
        <f aca="false">가정!$B$5+J202</f>
        <v>28788700</v>
      </c>
      <c r="L202" s="7" t="n">
        <f aca="false">H202-K202</f>
        <v>2754300</v>
      </c>
      <c r="M202" s="8" t="n">
        <f aca="false">IF(B202=0,0,K202/B202)</f>
        <v>0.503915631016979</v>
      </c>
      <c r="N202" s="7" t="n">
        <f aca="false">K202/가정!$B$8</f>
        <v>143943.5</v>
      </c>
      <c r="O202" s="7" t="n">
        <f aca="false">IF(I202&gt;0,A202,"")</f>
        <v>197</v>
      </c>
      <c r="P202" s="7" t="n">
        <f aca="false">IF(L202&gt;=0,A202,"")</f>
        <v>197</v>
      </c>
      <c r="Q202" s="7" t="n">
        <f aca="false">IF(K202&gt;=가정!$B$32,A202,"")</f>
        <v>197</v>
      </c>
      <c r="R202" s="7" t="str">
        <f aca="false">IF(MAX(0,I202)*(1-가정!$B$6)*'1억 상환'!$B$6&gt;='1억 상환'!$B$5,A202,"")</f>
        <v/>
      </c>
    </row>
    <row r="203" customFormat="false" ht="15" hidden="false" customHeight="false" outlineLevel="0" collapsed="false">
      <c r="A203" s="7" t="n">
        <v>198</v>
      </c>
      <c r="B203" s="7" t="n">
        <f aca="false">A203*가정!$B$10</f>
        <v>57420000</v>
      </c>
      <c r="C203" s="7" t="n">
        <f aca="false">가정!$B$34</f>
        <v>3590000</v>
      </c>
      <c r="D203" s="7" t="n">
        <f aca="false">ROUNDUP(MAX(0,A203-가정!$B$18)/가정!$B$19,0)</f>
        <v>4</v>
      </c>
      <c r="E203" s="7" t="n">
        <f aca="false">D203*가정!$B$20+ROUNDUP(A203/가정!$B$22,0)*가정!$B$21+ROUNDUP(A203/가정!$B$24,0)*가정!$B$23</f>
        <v>21800000</v>
      </c>
      <c r="F203" s="7" t="n">
        <f aca="false">A203*가정!$B$26+B203*가정!$B$27</f>
        <v>198000</v>
      </c>
      <c r="G203" s="7" t="n">
        <f aca="false">B203*가정!$B$28</f>
        <v>0</v>
      </c>
      <c r="H203" s="7" t="n">
        <f aca="false">B203-C203-E203-F203-G203</f>
        <v>31832000</v>
      </c>
      <c r="I203" s="7" t="n">
        <f aca="false">H203-IF(가정!$B$7=1,가정!$B$5,0)</f>
        <v>27832000</v>
      </c>
      <c r="J203" s="7" t="n">
        <f aca="false">MAX(0,I203)*가정!$B$6</f>
        <v>25048800</v>
      </c>
      <c r="K203" s="7" t="n">
        <f aca="false">가정!$B$5+J203</f>
        <v>29048800</v>
      </c>
      <c r="L203" s="7" t="n">
        <f aca="false">H203-K203</f>
        <v>2783200</v>
      </c>
      <c r="M203" s="8" t="n">
        <f aca="false">IF(B203=0,0,K203/B203)</f>
        <v>0.505900383141762</v>
      </c>
      <c r="N203" s="7" t="n">
        <f aca="false">K203/가정!$B$8</f>
        <v>145244</v>
      </c>
      <c r="O203" s="7" t="n">
        <f aca="false">IF(I203&gt;0,A203,"")</f>
        <v>198</v>
      </c>
      <c r="P203" s="7" t="n">
        <f aca="false">IF(L203&gt;=0,A203,"")</f>
        <v>198</v>
      </c>
      <c r="Q203" s="7" t="n">
        <f aca="false">IF(K203&gt;=가정!$B$32,A203,"")</f>
        <v>198</v>
      </c>
      <c r="R203" s="7" t="str">
        <f aca="false">IF(MAX(0,I203)*(1-가정!$B$6)*'1억 상환'!$B$6&gt;='1억 상환'!$B$5,A203,"")</f>
        <v/>
      </c>
    </row>
    <row r="204" customFormat="false" ht="15" hidden="false" customHeight="false" outlineLevel="0" collapsed="false">
      <c r="A204" s="7" t="n">
        <v>199</v>
      </c>
      <c r="B204" s="7" t="n">
        <f aca="false">A204*가정!$B$10</f>
        <v>57710000</v>
      </c>
      <c r="C204" s="7" t="n">
        <f aca="false">가정!$B$34</f>
        <v>3590000</v>
      </c>
      <c r="D204" s="7" t="n">
        <f aca="false">ROUNDUP(MAX(0,A204-가정!$B$18)/가정!$B$19,0)</f>
        <v>4</v>
      </c>
      <c r="E204" s="7" t="n">
        <f aca="false">D204*가정!$B$20+ROUNDUP(A204/가정!$B$22,0)*가정!$B$21+ROUNDUP(A204/가정!$B$24,0)*가정!$B$23</f>
        <v>21800000</v>
      </c>
      <c r="F204" s="7" t="n">
        <f aca="false">A204*가정!$B$26+B204*가정!$B$27</f>
        <v>199000</v>
      </c>
      <c r="G204" s="7" t="n">
        <f aca="false">B204*가정!$B$28</f>
        <v>0</v>
      </c>
      <c r="H204" s="7" t="n">
        <f aca="false">B204-C204-E204-F204-G204</f>
        <v>32121000</v>
      </c>
      <c r="I204" s="7" t="n">
        <f aca="false">H204-IF(가정!$B$7=1,가정!$B$5,0)</f>
        <v>28121000</v>
      </c>
      <c r="J204" s="7" t="n">
        <f aca="false">MAX(0,I204)*가정!$B$6</f>
        <v>25308900</v>
      </c>
      <c r="K204" s="7" t="n">
        <f aca="false">가정!$B$5+J204</f>
        <v>29308900</v>
      </c>
      <c r="L204" s="7" t="n">
        <f aca="false">H204-K204</f>
        <v>2812100</v>
      </c>
      <c r="M204" s="8" t="n">
        <f aca="false">IF(B204=0,0,K204/B204)</f>
        <v>0.507865188009011</v>
      </c>
      <c r="N204" s="7" t="n">
        <f aca="false">K204/가정!$B$8</f>
        <v>146544.5</v>
      </c>
      <c r="O204" s="7" t="n">
        <f aca="false">IF(I204&gt;0,A204,"")</f>
        <v>199</v>
      </c>
      <c r="P204" s="7" t="n">
        <f aca="false">IF(L204&gt;=0,A204,"")</f>
        <v>199</v>
      </c>
      <c r="Q204" s="7" t="n">
        <f aca="false">IF(K204&gt;=가정!$B$32,A204,"")</f>
        <v>199</v>
      </c>
      <c r="R204" s="7" t="str">
        <f aca="false">IF(MAX(0,I204)*(1-가정!$B$6)*'1억 상환'!$B$6&gt;='1억 상환'!$B$5,A204,"")</f>
        <v/>
      </c>
    </row>
    <row r="205" customFormat="false" ht="15" hidden="false" customHeight="false" outlineLevel="0" collapsed="false">
      <c r="A205" s="7" t="n">
        <v>200</v>
      </c>
      <c r="B205" s="7" t="n">
        <f aca="false">A205*가정!$B$10</f>
        <v>58000000</v>
      </c>
      <c r="C205" s="7" t="n">
        <f aca="false">가정!$B$34</f>
        <v>3590000</v>
      </c>
      <c r="D205" s="7" t="n">
        <f aca="false">ROUNDUP(MAX(0,A205-가정!$B$18)/가정!$B$19,0)</f>
        <v>4</v>
      </c>
      <c r="E205" s="7" t="n">
        <f aca="false">D205*가정!$B$20+ROUNDUP(A205/가정!$B$22,0)*가정!$B$21+ROUNDUP(A205/가정!$B$24,0)*가정!$B$23</f>
        <v>21800000</v>
      </c>
      <c r="F205" s="7" t="n">
        <f aca="false">A205*가정!$B$26+B205*가정!$B$27</f>
        <v>200000</v>
      </c>
      <c r="G205" s="7" t="n">
        <f aca="false">B205*가정!$B$28</f>
        <v>0</v>
      </c>
      <c r="H205" s="7" t="n">
        <f aca="false">B205-C205-E205-F205-G205</f>
        <v>32410000</v>
      </c>
      <c r="I205" s="7" t="n">
        <f aca="false">H205-IF(가정!$B$7=1,가정!$B$5,0)</f>
        <v>28410000</v>
      </c>
      <c r="J205" s="7" t="n">
        <f aca="false">MAX(0,I205)*가정!$B$6</f>
        <v>25569000</v>
      </c>
      <c r="K205" s="7" t="n">
        <f aca="false">가정!$B$5+J205</f>
        <v>29569000</v>
      </c>
      <c r="L205" s="7" t="n">
        <f aca="false">H205-K205</f>
        <v>2841000</v>
      </c>
      <c r="M205" s="8" t="n">
        <f aca="false">IF(B205=0,0,K205/B205)</f>
        <v>0.509810344827586</v>
      </c>
      <c r="N205" s="7" t="n">
        <f aca="false">K205/가정!$B$8</f>
        <v>147845</v>
      </c>
      <c r="O205" s="7" t="n">
        <f aca="false">IF(I205&gt;0,A205,"")</f>
        <v>200</v>
      </c>
      <c r="P205" s="7" t="n">
        <f aca="false">IF(L205&gt;=0,A205,"")</f>
        <v>200</v>
      </c>
      <c r="Q205" s="7" t="n">
        <f aca="false">IF(K205&gt;=가정!$B$32,A205,"")</f>
        <v>200</v>
      </c>
      <c r="R205" s="7" t="str">
        <f aca="false">IF(MAX(0,I205)*(1-가정!$B$6)*'1억 상환'!$B$6&gt;='1억 상환'!$B$5,A205,"")</f>
        <v/>
      </c>
    </row>
    <row r="206" customFormat="false" ht="15" hidden="false" customHeight="false" outlineLevel="0" collapsed="false">
      <c r="A206" s="7" t="n">
        <v>201</v>
      </c>
      <c r="B206" s="7" t="n">
        <f aca="false">A206*가정!$B$10</f>
        <v>58290000</v>
      </c>
      <c r="C206" s="7" t="n">
        <f aca="false">가정!$B$34</f>
        <v>3590000</v>
      </c>
      <c r="D206" s="7" t="n">
        <f aca="false">ROUNDUP(MAX(0,A206-가정!$B$18)/가정!$B$19,0)</f>
        <v>4</v>
      </c>
      <c r="E206" s="7" t="n">
        <f aca="false">D206*가정!$B$20+ROUNDUP(A206/가정!$B$22,0)*가정!$B$21+ROUNDUP(A206/가정!$B$24,0)*가정!$B$23</f>
        <v>25200000</v>
      </c>
      <c r="F206" s="7" t="n">
        <f aca="false">A206*가정!$B$26+B206*가정!$B$27</f>
        <v>201000</v>
      </c>
      <c r="G206" s="7" t="n">
        <f aca="false">B206*가정!$B$28</f>
        <v>0</v>
      </c>
      <c r="H206" s="7" t="n">
        <f aca="false">B206-C206-E206-F206-G206</f>
        <v>29299000</v>
      </c>
      <c r="I206" s="7" t="n">
        <f aca="false">H206-IF(가정!$B$7=1,가정!$B$5,0)</f>
        <v>25299000</v>
      </c>
      <c r="J206" s="7" t="n">
        <f aca="false">MAX(0,I206)*가정!$B$6</f>
        <v>22769100</v>
      </c>
      <c r="K206" s="7" t="n">
        <f aca="false">가정!$B$5+J206</f>
        <v>26769100</v>
      </c>
      <c r="L206" s="7" t="n">
        <f aca="false">H206-K206</f>
        <v>2529900</v>
      </c>
      <c r="M206" s="8" t="n">
        <f aca="false">IF(B206=0,0,K206/B206)</f>
        <v>0.459240006862241</v>
      </c>
      <c r="N206" s="7" t="n">
        <f aca="false">K206/가정!$B$8</f>
        <v>133845.5</v>
      </c>
      <c r="O206" s="7" t="n">
        <f aca="false">IF(I206&gt;0,A206,"")</f>
        <v>201</v>
      </c>
      <c r="P206" s="7" t="n">
        <f aca="false">IF(L206&gt;=0,A206,"")</f>
        <v>201</v>
      </c>
      <c r="Q206" s="7" t="n">
        <f aca="false">IF(K206&gt;=가정!$B$32,A206,"")</f>
        <v>201</v>
      </c>
      <c r="R206" s="7" t="str">
        <f aca="false">IF(MAX(0,I206)*(1-가정!$B$6)*'1억 상환'!$B$6&gt;='1억 상환'!$B$5,A206,"")</f>
        <v/>
      </c>
    </row>
    <row r="207" customFormat="false" ht="15" hidden="false" customHeight="false" outlineLevel="0" collapsed="false">
      <c r="A207" s="7" t="n">
        <v>202</v>
      </c>
      <c r="B207" s="7" t="n">
        <f aca="false">A207*가정!$B$10</f>
        <v>58580000</v>
      </c>
      <c r="C207" s="7" t="n">
        <f aca="false">가정!$B$34</f>
        <v>3590000</v>
      </c>
      <c r="D207" s="7" t="n">
        <f aca="false">ROUNDUP(MAX(0,A207-가정!$B$18)/가정!$B$19,0)</f>
        <v>4</v>
      </c>
      <c r="E207" s="7" t="n">
        <f aca="false">D207*가정!$B$20+ROUNDUP(A207/가정!$B$22,0)*가정!$B$21+ROUNDUP(A207/가정!$B$24,0)*가정!$B$23</f>
        <v>25200000</v>
      </c>
      <c r="F207" s="7" t="n">
        <f aca="false">A207*가정!$B$26+B207*가정!$B$27</f>
        <v>202000</v>
      </c>
      <c r="G207" s="7" t="n">
        <f aca="false">B207*가정!$B$28</f>
        <v>0</v>
      </c>
      <c r="H207" s="7" t="n">
        <f aca="false">B207-C207-E207-F207-G207</f>
        <v>29588000</v>
      </c>
      <c r="I207" s="7" t="n">
        <f aca="false">H207-IF(가정!$B$7=1,가정!$B$5,0)</f>
        <v>25588000</v>
      </c>
      <c r="J207" s="7" t="n">
        <f aca="false">MAX(0,I207)*가정!$B$6</f>
        <v>23029200</v>
      </c>
      <c r="K207" s="7" t="n">
        <f aca="false">가정!$B$5+J207</f>
        <v>27029200</v>
      </c>
      <c r="L207" s="7" t="n">
        <f aca="false">H207-K207</f>
        <v>2558800</v>
      </c>
      <c r="M207" s="8" t="n">
        <f aca="false">IF(B207=0,0,K207/B207)</f>
        <v>0.461406623420963</v>
      </c>
      <c r="N207" s="7" t="n">
        <f aca="false">K207/가정!$B$8</f>
        <v>135146</v>
      </c>
      <c r="O207" s="7" t="n">
        <f aca="false">IF(I207&gt;0,A207,"")</f>
        <v>202</v>
      </c>
      <c r="P207" s="7" t="n">
        <f aca="false">IF(L207&gt;=0,A207,"")</f>
        <v>202</v>
      </c>
      <c r="Q207" s="7" t="n">
        <f aca="false">IF(K207&gt;=가정!$B$32,A207,"")</f>
        <v>202</v>
      </c>
      <c r="R207" s="7" t="str">
        <f aca="false">IF(MAX(0,I207)*(1-가정!$B$6)*'1억 상환'!$B$6&gt;='1억 상환'!$B$5,A207,"")</f>
        <v/>
      </c>
    </row>
    <row r="208" customFormat="false" ht="15" hidden="false" customHeight="false" outlineLevel="0" collapsed="false">
      <c r="A208" s="7" t="n">
        <v>203</v>
      </c>
      <c r="B208" s="7" t="n">
        <f aca="false">A208*가정!$B$10</f>
        <v>58870000</v>
      </c>
      <c r="C208" s="7" t="n">
        <f aca="false">가정!$B$34</f>
        <v>3590000</v>
      </c>
      <c r="D208" s="7" t="n">
        <f aca="false">ROUNDUP(MAX(0,A208-가정!$B$18)/가정!$B$19,0)</f>
        <v>4</v>
      </c>
      <c r="E208" s="7" t="n">
        <f aca="false">D208*가정!$B$20+ROUNDUP(A208/가정!$B$22,0)*가정!$B$21+ROUNDUP(A208/가정!$B$24,0)*가정!$B$23</f>
        <v>25200000</v>
      </c>
      <c r="F208" s="7" t="n">
        <f aca="false">A208*가정!$B$26+B208*가정!$B$27</f>
        <v>203000</v>
      </c>
      <c r="G208" s="7" t="n">
        <f aca="false">B208*가정!$B$28</f>
        <v>0</v>
      </c>
      <c r="H208" s="7" t="n">
        <f aca="false">B208-C208-E208-F208-G208</f>
        <v>29877000</v>
      </c>
      <c r="I208" s="7" t="n">
        <f aca="false">H208-IF(가정!$B$7=1,가정!$B$5,0)</f>
        <v>25877000</v>
      </c>
      <c r="J208" s="7" t="n">
        <f aca="false">MAX(0,I208)*가정!$B$6</f>
        <v>23289300</v>
      </c>
      <c r="K208" s="7" t="n">
        <f aca="false">가정!$B$5+J208</f>
        <v>27289300</v>
      </c>
      <c r="L208" s="7" t="n">
        <f aca="false">H208-K208</f>
        <v>2587700</v>
      </c>
      <c r="M208" s="8" t="n">
        <f aca="false">IF(B208=0,0,K208/B208)</f>
        <v>0.463551894003737</v>
      </c>
      <c r="N208" s="7" t="n">
        <f aca="false">K208/가정!$B$8</f>
        <v>136446.5</v>
      </c>
      <c r="O208" s="7" t="n">
        <f aca="false">IF(I208&gt;0,A208,"")</f>
        <v>203</v>
      </c>
      <c r="P208" s="7" t="n">
        <f aca="false">IF(L208&gt;=0,A208,"")</f>
        <v>203</v>
      </c>
      <c r="Q208" s="7" t="n">
        <f aca="false">IF(K208&gt;=가정!$B$32,A208,"")</f>
        <v>203</v>
      </c>
      <c r="R208" s="7" t="str">
        <f aca="false">IF(MAX(0,I208)*(1-가정!$B$6)*'1억 상환'!$B$6&gt;='1억 상환'!$B$5,A208,"")</f>
        <v/>
      </c>
    </row>
    <row r="209" customFormat="false" ht="15" hidden="false" customHeight="false" outlineLevel="0" collapsed="false">
      <c r="A209" s="7" t="n">
        <v>204</v>
      </c>
      <c r="B209" s="7" t="n">
        <f aca="false">A209*가정!$B$10</f>
        <v>59160000</v>
      </c>
      <c r="C209" s="7" t="n">
        <f aca="false">가정!$B$34</f>
        <v>3590000</v>
      </c>
      <c r="D209" s="7" t="n">
        <f aca="false">ROUNDUP(MAX(0,A209-가정!$B$18)/가정!$B$19,0)</f>
        <v>4</v>
      </c>
      <c r="E209" s="7" t="n">
        <f aca="false">D209*가정!$B$20+ROUNDUP(A209/가정!$B$22,0)*가정!$B$21+ROUNDUP(A209/가정!$B$24,0)*가정!$B$23</f>
        <v>25200000</v>
      </c>
      <c r="F209" s="7" t="n">
        <f aca="false">A209*가정!$B$26+B209*가정!$B$27</f>
        <v>204000</v>
      </c>
      <c r="G209" s="7" t="n">
        <f aca="false">B209*가정!$B$28</f>
        <v>0</v>
      </c>
      <c r="H209" s="7" t="n">
        <f aca="false">B209-C209-E209-F209-G209</f>
        <v>30166000</v>
      </c>
      <c r="I209" s="7" t="n">
        <f aca="false">H209-IF(가정!$B$7=1,가정!$B$5,0)</f>
        <v>26166000</v>
      </c>
      <c r="J209" s="7" t="n">
        <f aca="false">MAX(0,I209)*가정!$B$6</f>
        <v>23549400</v>
      </c>
      <c r="K209" s="7" t="n">
        <f aca="false">가정!$B$5+J209</f>
        <v>27549400</v>
      </c>
      <c r="L209" s="7" t="n">
        <f aca="false">H209-K209</f>
        <v>2616600</v>
      </c>
      <c r="M209" s="8" t="n">
        <f aca="false">IF(B209=0,0,K209/B209)</f>
        <v>0.465676132521974</v>
      </c>
      <c r="N209" s="7" t="n">
        <f aca="false">K209/가정!$B$8</f>
        <v>137747</v>
      </c>
      <c r="O209" s="7" t="n">
        <f aca="false">IF(I209&gt;0,A209,"")</f>
        <v>204</v>
      </c>
      <c r="P209" s="7" t="n">
        <f aca="false">IF(L209&gt;=0,A209,"")</f>
        <v>204</v>
      </c>
      <c r="Q209" s="7" t="n">
        <f aca="false">IF(K209&gt;=가정!$B$32,A209,"")</f>
        <v>204</v>
      </c>
      <c r="R209" s="7" t="str">
        <f aca="false">IF(MAX(0,I209)*(1-가정!$B$6)*'1억 상환'!$B$6&gt;='1억 상환'!$B$5,A209,"")</f>
        <v/>
      </c>
    </row>
    <row r="210" customFormat="false" ht="15" hidden="false" customHeight="false" outlineLevel="0" collapsed="false">
      <c r="A210" s="7" t="n">
        <v>205</v>
      </c>
      <c r="B210" s="7" t="n">
        <f aca="false">A210*가정!$B$10</f>
        <v>59450000</v>
      </c>
      <c r="C210" s="7" t="n">
        <f aca="false">가정!$B$34</f>
        <v>3590000</v>
      </c>
      <c r="D210" s="7" t="n">
        <f aca="false">ROUNDUP(MAX(0,A210-가정!$B$18)/가정!$B$19,0)</f>
        <v>4</v>
      </c>
      <c r="E210" s="7" t="n">
        <f aca="false">D210*가정!$B$20+ROUNDUP(A210/가정!$B$22,0)*가정!$B$21+ROUNDUP(A210/가정!$B$24,0)*가정!$B$23</f>
        <v>25200000</v>
      </c>
      <c r="F210" s="7" t="n">
        <f aca="false">A210*가정!$B$26+B210*가정!$B$27</f>
        <v>205000</v>
      </c>
      <c r="G210" s="7" t="n">
        <f aca="false">B210*가정!$B$28</f>
        <v>0</v>
      </c>
      <c r="H210" s="7" t="n">
        <f aca="false">B210-C210-E210-F210-G210</f>
        <v>30455000</v>
      </c>
      <c r="I210" s="7" t="n">
        <f aca="false">H210-IF(가정!$B$7=1,가정!$B$5,0)</f>
        <v>26455000</v>
      </c>
      <c r="J210" s="7" t="n">
        <f aca="false">MAX(0,I210)*가정!$B$6</f>
        <v>23809500</v>
      </c>
      <c r="K210" s="7" t="n">
        <f aca="false">가정!$B$5+J210</f>
        <v>27809500</v>
      </c>
      <c r="L210" s="7" t="n">
        <f aca="false">H210-K210</f>
        <v>2645500</v>
      </c>
      <c r="M210" s="8" t="n">
        <f aca="false">IF(B210=0,0,K210/B210)</f>
        <v>0.467779646761985</v>
      </c>
      <c r="N210" s="7" t="n">
        <f aca="false">K210/가정!$B$8</f>
        <v>139047.5</v>
      </c>
      <c r="O210" s="7" t="n">
        <f aca="false">IF(I210&gt;0,A210,"")</f>
        <v>205</v>
      </c>
      <c r="P210" s="7" t="n">
        <f aca="false">IF(L210&gt;=0,A210,"")</f>
        <v>205</v>
      </c>
      <c r="Q210" s="7" t="n">
        <f aca="false">IF(K210&gt;=가정!$B$32,A210,"")</f>
        <v>205</v>
      </c>
      <c r="R210" s="7" t="str">
        <f aca="false">IF(MAX(0,I210)*(1-가정!$B$6)*'1억 상환'!$B$6&gt;='1억 상환'!$B$5,A210,"")</f>
        <v/>
      </c>
    </row>
    <row r="211" customFormat="false" ht="15" hidden="false" customHeight="false" outlineLevel="0" collapsed="false">
      <c r="A211" s="7" t="n">
        <v>206</v>
      </c>
      <c r="B211" s="7" t="n">
        <f aca="false">A211*가정!$B$10</f>
        <v>59740000</v>
      </c>
      <c r="C211" s="7" t="n">
        <f aca="false">가정!$B$34</f>
        <v>3590000</v>
      </c>
      <c r="D211" s="7" t="n">
        <f aca="false">ROUNDUP(MAX(0,A211-가정!$B$18)/가정!$B$19,0)</f>
        <v>4</v>
      </c>
      <c r="E211" s="7" t="n">
        <f aca="false">D211*가정!$B$20+ROUNDUP(A211/가정!$B$22,0)*가정!$B$21+ROUNDUP(A211/가정!$B$24,0)*가정!$B$23</f>
        <v>25200000</v>
      </c>
      <c r="F211" s="7" t="n">
        <f aca="false">A211*가정!$B$26+B211*가정!$B$27</f>
        <v>206000</v>
      </c>
      <c r="G211" s="7" t="n">
        <f aca="false">B211*가정!$B$28</f>
        <v>0</v>
      </c>
      <c r="H211" s="7" t="n">
        <f aca="false">B211-C211-E211-F211-G211</f>
        <v>30744000</v>
      </c>
      <c r="I211" s="7" t="n">
        <f aca="false">H211-IF(가정!$B$7=1,가정!$B$5,0)</f>
        <v>26744000</v>
      </c>
      <c r="J211" s="7" t="n">
        <f aca="false">MAX(0,I211)*가정!$B$6</f>
        <v>24069600</v>
      </c>
      <c r="K211" s="7" t="n">
        <f aca="false">가정!$B$5+J211</f>
        <v>28069600</v>
      </c>
      <c r="L211" s="7" t="n">
        <f aca="false">H211-K211</f>
        <v>2674400</v>
      </c>
      <c r="M211" s="8" t="n">
        <f aca="false">IF(B211=0,0,K211/B211)</f>
        <v>0.469862738533646</v>
      </c>
      <c r="N211" s="7" t="n">
        <f aca="false">K211/가정!$B$8</f>
        <v>140348</v>
      </c>
      <c r="O211" s="7" t="n">
        <f aca="false">IF(I211&gt;0,A211,"")</f>
        <v>206</v>
      </c>
      <c r="P211" s="7" t="n">
        <f aca="false">IF(L211&gt;=0,A211,"")</f>
        <v>206</v>
      </c>
      <c r="Q211" s="7" t="n">
        <f aca="false">IF(K211&gt;=가정!$B$32,A211,"")</f>
        <v>206</v>
      </c>
      <c r="R211" s="7" t="str">
        <f aca="false">IF(MAX(0,I211)*(1-가정!$B$6)*'1억 상환'!$B$6&gt;='1억 상환'!$B$5,A211,"")</f>
        <v/>
      </c>
    </row>
    <row r="212" customFormat="false" ht="15" hidden="false" customHeight="false" outlineLevel="0" collapsed="false">
      <c r="A212" s="7" t="n">
        <v>207</v>
      </c>
      <c r="B212" s="7" t="n">
        <f aca="false">A212*가정!$B$10</f>
        <v>60030000</v>
      </c>
      <c r="C212" s="7" t="n">
        <f aca="false">가정!$B$34</f>
        <v>3590000</v>
      </c>
      <c r="D212" s="7" t="n">
        <f aca="false">ROUNDUP(MAX(0,A212-가정!$B$18)/가정!$B$19,0)</f>
        <v>4</v>
      </c>
      <c r="E212" s="7" t="n">
        <f aca="false">D212*가정!$B$20+ROUNDUP(A212/가정!$B$22,0)*가정!$B$21+ROUNDUP(A212/가정!$B$24,0)*가정!$B$23</f>
        <v>25200000</v>
      </c>
      <c r="F212" s="7" t="n">
        <f aca="false">A212*가정!$B$26+B212*가정!$B$27</f>
        <v>207000</v>
      </c>
      <c r="G212" s="7" t="n">
        <f aca="false">B212*가정!$B$28</f>
        <v>0</v>
      </c>
      <c r="H212" s="7" t="n">
        <f aca="false">B212-C212-E212-F212-G212</f>
        <v>31033000</v>
      </c>
      <c r="I212" s="7" t="n">
        <f aca="false">H212-IF(가정!$B$7=1,가정!$B$5,0)</f>
        <v>27033000</v>
      </c>
      <c r="J212" s="7" t="n">
        <f aca="false">MAX(0,I212)*가정!$B$6</f>
        <v>24329700</v>
      </c>
      <c r="K212" s="7" t="n">
        <f aca="false">가정!$B$5+J212</f>
        <v>28329700</v>
      </c>
      <c r="L212" s="7" t="n">
        <f aca="false">H212-K212</f>
        <v>2703300</v>
      </c>
      <c r="M212" s="8" t="n">
        <f aca="false">IF(B212=0,0,K212/B212)</f>
        <v>0.471925703814759</v>
      </c>
      <c r="N212" s="7" t="n">
        <f aca="false">K212/가정!$B$8</f>
        <v>141648.5</v>
      </c>
      <c r="O212" s="7" t="n">
        <f aca="false">IF(I212&gt;0,A212,"")</f>
        <v>207</v>
      </c>
      <c r="P212" s="7" t="n">
        <f aca="false">IF(L212&gt;=0,A212,"")</f>
        <v>207</v>
      </c>
      <c r="Q212" s="7" t="n">
        <f aca="false">IF(K212&gt;=가정!$B$32,A212,"")</f>
        <v>207</v>
      </c>
      <c r="R212" s="7" t="str">
        <f aca="false">IF(MAX(0,I212)*(1-가정!$B$6)*'1억 상환'!$B$6&gt;='1억 상환'!$B$5,A212,"")</f>
        <v/>
      </c>
    </row>
    <row r="213" customFormat="false" ht="15" hidden="false" customHeight="false" outlineLevel="0" collapsed="false">
      <c r="A213" s="7" t="n">
        <v>208</v>
      </c>
      <c r="B213" s="7" t="n">
        <f aca="false">A213*가정!$B$10</f>
        <v>60320000</v>
      </c>
      <c r="C213" s="7" t="n">
        <f aca="false">가정!$B$34</f>
        <v>3590000</v>
      </c>
      <c r="D213" s="7" t="n">
        <f aca="false">ROUNDUP(MAX(0,A213-가정!$B$18)/가정!$B$19,0)</f>
        <v>4</v>
      </c>
      <c r="E213" s="7" t="n">
        <f aca="false">D213*가정!$B$20+ROUNDUP(A213/가정!$B$22,0)*가정!$B$21+ROUNDUP(A213/가정!$B$24,0)*가정!$B$23</f>
        <v>25200000</v>
      </c>
      <c r="F213" s="7" t="n">
        <f aca="false">A213*가정!$B$26+B213*가정!$B$27</f>
        <v>208000</v>
      </c>
      <c r="G213" s="7" t="n">
        <f aca="false">B213*가정!$B$28</f>
        <v>0</v>
      </c>
      <c r="H213" s="7" t="n">
        <f aca="false">B213-C213-E213-F213-G213</f>
        <v>31322000</v>
      </c>
      <c r="I213" s="7" t="n">
        <f aca="false">H213-IF(가정!$B$7=1,가정!$B$5,0)</f>
        <v>27322000</v>
      </c>
      <c r="J213" s="7" t="n">
        <f aca="false">MAX(0,I213)*가정!$B$6</f>
        <v>24589800</v>
      </c>
      <c r="K213" s="7" t="n">
        <f aca="false">가정!$B$5+J213</f>
        <v>28589800</v>
      </c>
      <c r="L213" s="7" t="n">
        <f aca="false">H213-K213</f>
        <v>2732200</v>
      </c>
      <c r="M213" s="8" t="n">
        <f aca="false">IF(B213=0,0,K213/B213)</f>
        <v>0.473968832891247</v>
      </c>
      <c r="N213" s="7" t="n">
        <f aca="false">K213/가정!$B$8</f>
        <v>142949</v>
      </c>
      <c r="O213" s="7" t="n">
        <f aca="false">IF(I213&gt;0,A213,"")</f>
        <v>208</v>
      </c>
      <c r="P213" s="7" t="n">
        <f aca="false">IF(L213&gt;=0,A213,"")</f>
        <v>208</v>
      </c>
      <c r="Q213" s="7" t="n">
        <f aca="false">IF(K213&gt;=가정!$B$32,A213,"")</f>
        <v>208</v>
      </c>
      <c r="R213" s="7" t="str">
        <f aca="false">IF(MAX(0,I213)*(1-가정!$B$6)*'1억 상환'!$B$6&gt;='1억 상환'!$B$5,A213,"")</f>
        <v/>
      </c>
    </row>
    <row r="214" customFormat="false" ht="15" hidden="false" customHeight="false" outlineLevel="0" collapsed="false">
      <c r="A214" s="7" t="n">
        <v>209</v>
      </c>
      <c r="B214" s="7" t="n">
        <f aca="false">A214*가정!$B$10</f>
        <v>60610000</v>
      </c>
      <c r="C214" s="7" t="n">
        <f aca="false">가정!$B$34</f>
        <v>3590000</v>
      </c>
      <c r="D214" s="7" t="n">
        <f aca="false">ROUNDUP(MAX(0,A214-가정!$B$18)/가정!$B$19,0)</f>
        <v>4</v>
      </c>
      <c r="E214" s="7" t="n">
        <f aca="false">D214*가정!$B$20+ROUNDUP(A214/가정!$B$22,0)*가정!$B$21+ROUNDUP(A214/가정!$B$24,0)*가정!$B$23</f>
        <v>25200000</v>
      </c>
      <c r="F214" s="7" t="n">
        <f aca="false">A214*가정!$B$26+B214*가정!$B$27</f>
        <v>209000</v>
      </c>
      <c r="G214" s="7" t="n">
        <f aca="false">B214*가정!$B$28</f>
        <v>0</v>
      </c>
      <c r="H214" s="7" t="n">
        <f aca="false">B214-C214-E214-F214-G214</f>
        <v>31611000</v>
      </c>
      <c r="I214" s="7" t="n">
        <f aca="false">H214-IF(가정!$B$7=1,가정!$B$5,0)</f>
        <v>27611000</v>
      </c>
      <c r="J214" s="7" t="n">
        <f aca="false">MAX(0,I214)*가정!$B$6</f>
        <v>24849900</v>
      </c>
      <c r="K214" s="7" t="n">
        <f aca="false">가정!$B$5+J214</f>
        <v>28849900</v>
      </c>
      <c r="L214" s="7" t="n">
        <f aca="false">H214-K214</f>
        <v>2761100</v>
      </c>
      <c r="M214" s="8" t="n">
        <f aca="false">IF(B214=0,0,K214/B214)</f>
        <v>0.475992410493318</v>
      </c>
      <c r="N214" s="7" t="n">
        <f aca="false">K214/가정!$B$8</f>
        <v>144249.5</v>
      </c>
      <c r="O214" s="7" t="n">
        <f aca="false">IF(I214&gt;0,A214,"")</f>
        <v>209</v>
      </c>
      <c r="P214" s="7" t="n">
        <f aca="false">IF(L214&gt;=0,A214,"")</f>
        <v>209</v>
      </c>
      <c r="Q214" s="7" t="n">
        <f aca="false">IF(K214&gt;=가정!$B$32,A214,"")</f>
        <v>209</v>
      </c>
      <c r="R214" s="7" t="str">
        <f aca="false">IF(MAX(0,I214)*(1-가정!$B$6)*'1억 상환'!$B$6&gt;='1억 상환'!$B$5,A214,"")</f>
        <v/>
      </c>
    </row>
    <row r="215" customFormat="false" ht="15" hidden="false" customHeight="false" outlineLevel="0" collapsed="false">
      <c r="A215" s="7" t="n">
        <v>210</v>
      </c>
      <c r="B215" s="7" t="n">
        <f aca="false">A215*가정!$B$10</f>
        <v>60900000</v>
      </c>
      <c r="C215" s="7" t="n">
        <f aca="false">가정!$B$34</f>
        <v>3590000</v>
      </c>
      <c r="D215" s="7" t="n">
        <f aca="false">ROUNDUP(MAX(0,A215-가정!$B$18)/가정!$B$19,0)</f>
        <v>4</v>
      </c>
      <c r="E215" s="7" t="n">
        <f aca="false">D215*가정!$B$20+ROUNDUP(A215/가정!$B$22,0)*가정!$B$21+ROUNDUP(A215/가정!$B$24,0)*가정!$B$23</f>
        <v>25200000</v>
      </c>
      <c r="F215" s="7" t="n">
        <f aca="false">A215*가정!$B$26+B215*가정!$B$27</f>
        <v>210000</v>
      </c>
      <c r="G215" s="7" t="n">
        <f aca="false">B215*가정!$B$28</f>
        <v>0</v>
      </c>
      <c r="H215" s="7" t="n">
        <f aca="false">B215-C215-E215-F215-G215</f>
        <v>31900000</v>
      </c>
      <c r="I215" s="7" t="n">
        <f aca="false">H215-IF(가정!$B$7=1,가정!$B$5,0)</f>
        <v>27900000</v>
      </c>
      <c r="J215" s="7" t="n">
        <f aca="false">MAX(0,I215)*가정!$B$6</f>
        <v>25110000</v>
      </c>
      <c r="K215" s="7" t="n">
        <f aca="false">가정!$B$5+J215</f>
        <v>29110000</v>
      </c>
      <c r="L215" s="7" t="n">
        <f aca="false">H215-K215</f>
        <v>2790000</v>
      </c>
      <c r="M215" s="8" t="n">
        <f aca="false">IF(B215=0,0,K215/B215)</f>
        <v>0.47799671592775</v>
      </c>
      <c r="N215" s="7" t="n">
        <f aca="false">K215/가정!$B$8</f>
        <v>145550</v>
      </c>
      <c r="O215" s="7" t="n">
        <f aca="false">IF(I215&gt;0,A215,"")</f>
        <v>210</v>
      </c>
      <c r="P215" s="7" t="n">
        <f aca="false">IF(L215&gt;=0,A215,"")</f>
        <v>210</v>
      </c>
      <c r="Q215" s="7" t="n">
        <f aca="false">IF(K215&gt;=가정!$B$32,A215,"")</f>
        <v>210</v>
      </c>
      <c r="R215" s="7" t="str">
        <f aca="false">IF(MAX(0,I215)*(1-가정!$B$6)*'1억 상환'!$B$6&gt;='1억 상환'!$B$5,A215,"")</f>
        <v/>
      </c>
    </row>
    <row r="216" customFormat="false" ht="15" hidden="false" customHeight="false" outlineLevel="0" collapsed="false">
      <c r="A216" s="7" t="n">
        <v>211</v>
      </c>
      <c r="B216" s="7" t="n">
        <f aca="false">A216*가정!$B$10</f>
        <v>61190000</v>
      </c>
      <c r="C216" s="7" t="n">
        <f aca="false">가정!$B$34</f>
        <v>3590000</v>
      </c>
      <c r="D216" s="7" t="n">
        <f aca="false">ROUNDUP(MAX(0,A216-가정!$B$18)/가정!$B$19,0)</f>
        <v>4</v>
      </c>
      <c r="E216" s="7" t="n">
        <f aca="false">D216*가정!$B$20+ROUNDUP(A216/가정!$B$22,0)*가정!$B$21+ROUNDUP(A216/가정!$B$24,0)*가정!$B$23</f>
        <v>25200000</v>
      </c>
      <c r="F216" s="7" t="n">
        <f aca="false">A216*가정!$B$26+B216*가정!$B$27</f>
        <v>211000</v>
      </c>
      <c r="G216" s="7" t="n">
        <f aca="false">B216*가정!$B$28</f>
        <v>0</v>
      </c>
      <c r="H216" s="7" t="n">
        <f aca="false">B216-C216-E216-F216-G216</f>
        <v>32189000</v>
      </c>
      <c r="I216" s="7" t="n">
        <f aca="false">H216-IF(가정!$B$7=1,가정!$B$5,0)</f>
        <v>28189000</v>
      </c>
      <c r="J216" s="7" t="n">
        <f aca="false">MAX(0,I216)*가정!$B$6</f>
        <v>25370100</v>
      </c>
      <c r="K216" s="7" t="n">
        <f aca="false">가정!$B$5+J216</f>
        <v>29370100</v>
      </c>
      <c r="L216" s="7" t="n">
        <f aca="false">H216-K216</f>
        <v>2818900</v>
      </c>
      <c r="M216" s="8" t="n">
        <f aca="false">IF(B216=0,0,K216/B216)</f>
        <v>0.479982023206406</v>
      </c>
      <c r="N216" s="7" t="n">
        <f aca="false">K216/가정!$B$8</f>
        <v>146850.5</v>
      </c>
      <c r="O216" s="7" t="n">
        <f aca="false">IF(I216&gt;0,A216,"")</f>
        <v>211</v>
      </c>
      <c r="P216" s="7" t="n">
        <f aca="false">IF(L216&gt;=0,A216,"")</f>
        <v>211</v>
      </c>
      <c r="Q216" s="7" t="n">
        <f aca="false">IF(K216&gt;=가정!$B$32,A216,"")</f>
        <v>211</v>
      </c>
      <c r="R216" s="7" t="str">
        <f aca="false">IF(MAX(0,I216)*(1-가정!$B$6)*'1억 상환'!$B$6&gt;='1억 상환'!$B$5,A216,"")</f>
        <v/>
      </c>
    </row>
    <row r="217" customFormat="false" ht="15" hidden="false" customHeight="false" outlineLevel="0" collapsed="false">
      <c r="A217" s="7" t="n">
        <v>212</v>
      </c>
      <c r="B217" s="7" t="n">
        <f aca="false">A217*가정!$B$10</f>
        <v>61480000</v>
      </c>
      <c r="C217" s="7" t="n">
        <f aca="false">가정!$B$34</f>
        <v>3590000</v>
      </c>
      <c r="D217" s="7" t="n">
        <f aca="false">ROUNDUP(MAX(0,A217-가정!$B$18)/가정!$B$19,0)</f>
        <v>4</v>
      </c>
      <c r="E217" s="7" t="n">
        <f aca="false">D217*가정!$B$20+ROUNDUP(A217/가정!$B$22,0)*가정!$B$21+ROUNDUP(A217/가정!$B$24,0)*가정!$B$23</f>
        <v>25200000</v>
      </c>
      <c r="F217" s="7" t="n">
        <f aca="false">A217*가정!$B$26+B217*가정!$B$27</f>
        <v>212000</v>
      </c>
      <c r="G217" s="7" t="n">
        <f aca="false">B217*가정!$B$28</f>
        <v>0</v>
      </c>
      <c r="H217" s="7" t="n">
        <f aca="false">B217-C217-E217-F217-G217</f>
        <v>32478000</v>
      </c>
      <c r="I217" s="7" t="n">
        <f aca="false">H217-IF(가정!$B$7=1,가정!$B$5,0)</f>
        <v>28478000</v>
      </c>
      <c r="J217" s="7" t="n">
        <f aca="false">MAX(0,I217)*가정!$B$6</f>
        <v>25630200</v>
      </c>
      <c r="K217" s="7" t="n">
        <f aca="false">가정!$B$5+J217</f>
        <v>29630200</v>
      </c>
      <c r="L217" s="7" t="n">
        <f aca="false">H217-K217</f>
        <v>2847800</v>
      </c>
      <c r="M217" s="8" t="n">
        <f aca="false">IF(B217=0,0,K217/B217)</f>
        <v>0.481948601171113</v>
      </c>
      <c r="N217" s="7" t="n">
        <f aca="false">K217/가정!$B$8</f>
        <v>148151</v>
      </c>
      <c r="O217" s="7" t="n">
        <f aca="false">IF(I217&gt;0,A217,"")</f>
        <v>212</v>
      </c>
      <c r="P217" s="7" t="n">
        <f aca="false">IF(L217&gt;=0,A217,"")</f>
        <v>212</v>
      </c>
      <c r="Q217" s="7" t="n">
        <f aca="false">IF(K217&gt;=가정!$B$32,A217,"")</f>
        <v>212</v>
      </c>
      <c r="R217" s="7" t="str">
        <f aca="false">IF(MAX(0,I217)*(1-가정!$B$6)*'1억 상환'!$B$6&gt;='1억 상환'!$B$5,A217,"")</f>
        <v/>
      </c>
    </row>
    <row r="218" customFormat="false" ht="15" hidden="false" customHeight="false" outlineLevel="0" collapsed="false">
      <c r="A218" s="7" t="n">
        <v>213</v>
      </c>
      <c r="B218" s="7" t="n">
        <f aca="false">A218*가정!$B$10</f>
        <v>61770000</v>
      </c>
      <c r="C218" s="7" t="n">
        <f aca="false">가정!$B$34</f>
        <v>3590000</v>
      </c>
      <c r="D218" s="7" t="n">
        <f aca="false">ROUNDUP(MAX(0,A218-가정!$B$18)/가정!$B$19,0)</f>
        <v>4</v>
      </c>
      <c r="E218" s="7" t="n">
        <f aca="false">D218*가정!$B$20+ROUNDUP(A218/가정!$B$22,0)*가정!$B$21+ROUNDUP(A218/가정!$B$24,0)*가정!$B$23</f>
        <v>25200000</v>
      </c>
      <c r="F218" s="7" t="n">
        <f aca="false">A218*가정!$B$26+B218*가정!$B$27</f>
        <v>213000</v>
      </c>
      <c r="G218" s="7" t="n">
        <f aca="false">B218*가정!$B$28</f>
        <v>0</v>
      </c>
      <c r="H218" s="7" t="n">
        <f aca="false">B218-C218-E218-F218-G218</f>
        <v>32767000</v>
      </c>
      <c r="I218" s="7" t="n">
        <f aca="false">H218-IF(가정!$B$7=1,가정!$B$5,0)</f>
        <v>28767000</v>
      </c>
      <c r="J218" s="7" t="n">
        <f aca="false">MAX(0,I218)*가정!$B$6</f>
        <v>25890300</v>
      </c>
      <c r="K218" s="7" t="n">
        <f aca="false">가정!$B$5+J218</f>
        <v>29890300</v>
      </c>
      <c r="L218" s="7" t="n">
        <f aca="false">H218-K218</f>
        <v>2876700</v>
      </c>
      <c r="M218" s="8" t="n">
        <f aca="false">IF(B218=0,0,K218/B218)</f>
        <v>0.483896713615023</v>
      </c>
      <c r="N218" s="7" t="n">
        <f aca="false">K218/가정!$B$8</f>
        <v>149451.5</v>
      </c>
      <c r="O218" s="7" t="n">
        <f aca="false">IF(I218&gt;0,A218,"")</f>
        <v>213</v>
      </c>
      <c r="P218" s="7" t="n">
        <f aca="false">IF(L218&gt;=0,A218,"")</f>
        <v>213</v>
      </c>
      <c r="Q218" s="7" t="n">
        <f aca="false">IF(K218&gt;=가정!$B$32,A218,"")</f>
        <v>213</v>
      </c>
      <c r="R218" s="7" t="str">
        <f aca="false">IF(MAX(0,I218)*(1-가정!$B$6)*'1억 상환'!$B$6&gt;='1억 상환'!$B$5,A218,"")</f>
        <v/>
      </c>
    </row>
    <row r="219" customFormat="false" ht="15" hidden="false" customHeight="false" outlineLevel="0" collapsed="false">
      <c r="A219" s="7" t="n">
        <v>214</v>
      </c>
      <c r="B219" s="7" t="n">
        <f aca="false">A219*가정!$B$10</f>
        <v>62060000</v>
      </c>
      <c r="C219" s="7" t="n">
        <f aca="false">가정!$B$34</f>
        <v>3590000</v>
      </c>
      <c r="D219" s="7" t="n">
        <f aca="false">ROUNDUP(MAX(0,A219-가정!$B$18)/가정!$B$19,0)</f>
        <v>4</v>
      </c>
      <c r="E219" s="7" t="n">
        <f aca="false">D219*가정!$B$20+ROUNDUP(A219/가정!$B$22,0)*가정!$B$21+ROUNDUP(A219/가정!$B$24,0)*가정!$B$23</f>
        <v>25200000</v>
      </c>
      <c r="F219" s="7" t="n">
        <f aca="false">A219*가정!$B$26+B219*가정!$B$27</f>
        <v>214000</v>
      </c>
      <c r="G219" s="7" t="n">
        <f aca="false">B219*가정!$B$28</f>
        <v>0</v>
      </c>
      <c r="H219" s="7" t="n">
        <f aca="false">B219-C219-E219-F219-G219</f>
        <v>33056000</v>
      </c>
      <c r="I219" s="7" t="n">
        <f aca="false">H219-IF(가정!$B$7=1,가정!$B$5,0)</f>
        <v>29056000</v>
      </c>
      <c r="J219" s="7" t="n">
        <f aca="false">MAX(0,I219)*가정!$B$6</f>
        <v>26150400</v>
      </c>
      <c r="K219" s="7" t="n">
        <f aca="false">가정!$B$5+J219</f>
        <v>30150400</v>
      </c>
      <c r="L219" s="7" t="n">
        <f aca="false">H219-K219</f>
        <v>2905600</v>
      </c>
      <c r="M219" s="8" t="n">
        <f aca="false">IF(B219=0,0,K219/B219)</f>
        <v>0.48582661940058</v>
      </c>
      <c r="N219" s="7" t="n">
        <f aca="false">K219/가정!$B$8</f>
        <v>150752</v>
      </c>
      <c r="O219" s="7" t="n">
        <f aca="false">IF(I219&gt;0,A219,"")</f>
        <v>214</v>
      </c>
      <c r="P219" s="7" t="n">
        <f aca="false">IF(L219&gt;=0,A219,"")</f>
        <v>214</v>
      </c>
      <c r="Q219" s="7" t="n">
        <f aca="false">IF(K219&gt;=가정!$B$32,A219,"")</f>
        <v>214</v>
      </c>
      <c r="R219" s="7" t="str">
        <f aca="false">IF(MAX(0,I219)*(1-가정!$B$6)*'1억 상환'!$B$6&gt;='1억 상환'!$B$5,A219,"")</f>
        <v/>
      </c>
    </row>
    <row r="220" customFormat="false" ht="15" hidden="false" customHeight="false" outlineLevel="0" collapsed="false">
      <c r="A220" s="7" t="n">
        <v>215</v>
      </c>
      <c r="B220" s="7" t="n">
        <f aca="false">A220*가정!$B$10</f>
        <v>62350000</v>
      </c>
      <c r="C220" s="7" t="n">
        <f aca="false">가정!$B$34</f>
        <v>3590000</v>
      </c>
      <c r="D220" s="7" t="n">
        <f aca="false">ROUNDUP(MAX(0,A220-가정!$B$18)/가정!$B$19,0)</f>
        <v>4</v>
      </c>
      <c r="E220" s="7" t="n">
        <f aca="false">D220*가정!$B$20+ROUNDUP(A220/가정!$B$22,0)*가정!$B$21+ROUNDUP(A220/가정!$B$24,0)*가정!$B$23</f>
        <v>25200000</v>
      </c>
      <c r="F220" s="7" t="n">
        <f aca="false">A220*가정!$B$26+B220*가정!$B$27</f>
        <v>215000</v>
      </c>
      <c r="G220" s="7" t="n">
        <f aca="false">B220*가정!$B$28</f>
        <v>0</v>
      </c>
      <c r="H220" s="7" t="n">
        <f aca="false">B220-C220-E220-F220-G220</f>
        <v>33345000</v>
      </c>
      <c r="I220" s="7" t="n">
        <f aca="false">H220-IF(가정!$B$7=1,가정!$B$5,0)</f>
        <v>29345000</v>
      </c>
      <c r="J220" s="7" t="n">
        <f aca="false">MAX(0,I220)*가정!$B$6</f>
        <v>26410500</v>
      </c>
      <c r="K220" s="7" t="n">
        <f aca="false">가정!$B$5+J220</f>
        <v>30410500</v>
      </c>
      <c r="L220" s="7" t="n">
        <f aca="false">H220-K220</f>
        <v>2934500</v>
      </c>
      <c r="M220" s="8" t="n">
        <f aca="false">IF(B220=0,0,K220/B220)</f>
        <v>0.487738572574178</v>
      </c>
      <c r="N220" s="7" t="n">
        <f aca="false">K220/가정!$B$8</f>
        <v>152052.5</v>
      </c>
      <c r="O220" s="7" t="n">
        <f aca="false">IF(I220&gt;0,A220,"")</f>
        <v>215</v>
      </c>
      <c r="P220" s="7" t="n">
        <f aca="false">IF(L220&gt;=0,A220,"")</f>
        <v>215</v>
      </c>
      <c r="Q220" s="7" t="n">
        <f aca="false">IF(K220&gt;=가정!$B$32,A220,"")</f>
        <v>215</v>
      </c>
      <c r="R220" s="7" t="str">
        <f aca="false">IF(MAX(0,I220)*(1-가정!$B$6)*'1억 상환'!$B$6&gt;='1억 상환'!$B$5,A220,"")</f>
        <v/>
      </c>
    </row>
    <row r="221" customFormat="false" ht="15" hidden="false" customHeight="false" outlineLevel="0" collapsed="false">
      <c r="A221" s="7" t="n">
        <v>216</v>
      </c>
      <c r="B221" s="7" t="n">
        <f aca="false">A221*가정!$B$10</f>
        <v>62640000</v>
      </c>
      <c r="C221" s="7" t="n">
        <f aca="false">가정!$B$34</f>
        <v>3590000</v>
      </c>
      <c r="D221" s="7" t="n">
        <f aca="false">ROUNDUP(MAX(0,A221-가정!$B$18)/가정!$B$19,0)</f>
        <v>4</v>
      </c>
      <c r="E221" s="7" t="n">
        <f aca="false">D221*가정!$B$20+ROUNDUP(A221/가정!$B$22,0)*가정!$B$21+ROUNDUP(A221/가정!$B$24,0)*가정!$B$23</f>
        <v>25200000</v>
      </c>
      <c r="F221" s="7" t="n">
        <f aca="false">A221*가정!$B$26+B221*가정!$B$27</f>
        <v>216000</v>
      </c>
      <c r="G221" s="7" t="n">
        <f aca="false">B221*가정!$B$28</f>
        <v>0</v>
      </c>
      <c r="H221" s="7" t="n">
        <f aca="false">B221-C221-E221-F221-G221</f>
        <v>33634000</v>
      </c>
      <c r="I221" s="7" t="n">
        <f aca="false">H221-IF(가정!$B$7=1,가정!$B$5,0)</f>
        <v>29634000</v>
      </c>
      <c r="J221" s="7" t="n">
        <f aca="false">MAX(0,I221)*가정!$B$6</f>
        <v>26670600</v>
      </c>
      <c r="K221" s="7" t="n">
        <f aca="false">가정!$B$5+J221</f>
        <v>30670600</v>
      </c>
      <c r="L221" s="7" t="n">
        <f aca="false">H221-K221</f>
        <v>2963400</v>
      </c>
      <c r="M221" s="8" t="n">
        <f aca="false">IF(B221=0,0,K221/B221)</f>
        <v>0.48963282247765</v>
      </c>
      <c r="N221" s="7" t="n">
        <f aca="false">K221/가정!$B$8</f>
        <v>153353</v>
      </c>
      <c r="O221" s="7" t="n">
        <f aca="false">IF(I221&gt;0,A221,"")</f>
        <v>216</v>
      </c>
      <c r="P221" s="7" t="n">
        <f aca="false">IF(L221&gt;=0,A221,"")</f>
        <v>216</v>
      </c>
      <c r="Q221" s="7" t="n">
        <f aca="false">IF(K221&gt;=가정!$B$32,A221,"")</f>
        <v>216</v>
      </c>
      <c r="R221" s="7" t="str">
        <f aca="false">IF(MAX(0,I221)*(1-가정!$B$6)*'1억 상환'!$B$6&gt;='1억 상환'!$B$5,A221,"")</f>
        <v/>
      </c>
    </row>
    <row r="222" customFormat="false" ht="15" hidden="false" customHeight="false" outlineLevel="0" collapsed="false">
      <c r="A222" s="7" t="n">
        <v>217</v>
      </c>
      <c r="B222" s="7" t="n">
        <f aca="false">A222*가정!$B$10</f>
        <v>62930000</v>
      </c>
      <c r="C222" s="7" t="n">
        <f aca="false">가정!$B$34</f>
        <v>3590000</v>
      </c>
      <c r="D222" s="7" t="n">
        <f aca="false">ROUNDUP(MAX(0,A222-가정!$B$18)/가정!$B$19,0)</f>
        <v>4</v>
      </c>
      <c r="E222" s="7" t="n">
        <f aca="false">D222*가정!$B$20+ROUNDUP(A222/가정!$B$22,0)*가정!$B$21+ROUNDUP(A222/가정!$B$24,0)*가정!$B$23</f>
        <v>25200000</v>
      </c>
      <c r="F222" s="7" t="n">
        <f aca="false">A222*가정!$B$26+B222*가정!$B$27</f>
        <v>217000</v>
      </c>
      <c r="G222" s="7" t="n">
        <f aca="false">B222*가정!$B$28</f>
        <v>0</v>
      </c>
      <c r="H222" s="7" t="n">
        <f aca="false">B222-C222-E222-F222-G222</f>
        <v>33923000</v>
      </c>
      <c r="I222" s="7" t="n">
        <f aca="false">H222-IF(가정!$B$7=1,가정!$B$5,0)</f>
        <v>29923000</v>
      </c>
      <c r="J222" s="7" t="n">
        <f aca="false">MAX(0,I222)*가정!$B$6</f>
        <v>26930700</v>
      </c>
      <c r="K222" s="7" t="n">
        <f aca="false">가정!$B$5+J222</f>
        <v>30930700</v>
      </c>
      <c r="L222" s="7" t="n">
        <f aca="false">H222-K222</f>
        <v>2992300</v>
      </c>
      <c r="M222" s="8" t="n">
        <f aca="false">IF(B222=0,0,K222/B222)</f>
        <v>0.491509613856666</v>
      </c>
      <c r="N222" s="7" t="n">
        <f aca="false">K222/가정!$B$8</f>
        <v>154653.5</v>
      </c>
      <c r="O222" s="7" t="n">
        <f aca="false">IF(I222&gt;0,A222,"")</f>
        <v>217</v>
      </c>
      <c r="P222" s="7" t="n">
        <f aca="false">IF(L222&gt;=0,A222,"")</f>
        <v>217</v>
      </c>
      <c r="Q222" s="7" t="n">
        <f aca="false">IF(K222&gt;=가정!$B$32,A222,"")</f>
        <v>217</v>
      </c>
      <c r="R222" s="7" t="str">
        <f aca="false">IF(MAX(0,I222)*(1-가정!$B$6)*'1억 상환'!$B$6&gt;='1억 상환'!$B$5,A222,"")</f>
        <v/>
      </c>
    </row>
    <row r="223" customFormat="false" ht="15" hidden="false" customHeight="false" outlineLevel="0" collapsed="false">
      <c r="A223" s="7" t="n">
        <v>218</v>
      </c>
      <c r="B223" s="7" t="n">
        <f aca="false">A223*가정!$B$10</f>
        <v>63220000</v>
      </c>
      <c r="C223" s="7" t="n">
        <f aca="false">가정!$B$34</f>
        <v>3590000</v>
      </c>
      <c r="D223" s="7" t="n">
        <f aca="false">ROUNDUP(MAX(0,A223-가정!$B$18)/가정!$B$19,0)</f>
        <v>4</v>
      </c>
      <c r="E223" s="7" t="n">
        <f aca="false">D223*가정!$B$20+ROUNDUP(A223/가정!$B$22,0)*가정!$B$21+ROUNDUP(A223/가정!$B$24,0)*가정!$B$23</f>
        <v>25200000</v>
      </c>
      <c r="F223" s="7" t="n">
        <f aca="false">A223*가정!$B$26+B223*가정!$B$27</f>
        <v>218000</v>
      </c>
      <c r="G223" s="7" t="n">
        <f aca="false">B223*가정!$B$28</f>
        <v>0</v>
      </c>
      <c r="H223" s="7" t="n">
        <f aca="false">B223-C223-E223-F223-G223</f>
        <v>34212000</v>
      </c>
      <c r="I223" s="7" t="n">
        <f aca="false">H223-IF(가정!$B$7=1,가정!$B$5,0)</f>
        <v>30212000</v>
      </c>
      <c r="J223" s="7" t="n">
        <f aca="false">MAX(0,I223)*가정!$B$6</f>
        <v>27190800</v>
      </c>
      <c r="K223" s="7" t="n">
        <f aca="false">가정!$B$5+J223</f>
        <v>31190800</v>
      </c>
      <c r="L223" s="7" t="n">
        <f aca="false">H223-K223</f>
        <v>3021200</v>
      </c>
      <c r="M223" s="8" t="n">
        <f aca="false">IF(B223=0,0,K223/B223)</f>
        <v>0.49336918696615</v>
      </c>
      <c r="N223" s="7" t="n">
        <f aca="false">K223/가정!$B$8</f>
        <v>155954</v>
      </c>
      <c r="O223" s="7" t="n">
        <f aca="false">IF(I223&gt;0,A223,"")</f>
        <v>218</v>
      </c>
      <c r="P223" s="7" t="n">
        <f aca="false">IF(L223&gt;=0,A223,"")</f>
        <v>218</v>
      </c>
      <c r="Q223" s="7" t="n">
        <f aca="false">IF(K223&gt;=가정!$B$32,A223,"")</f>
        <v>218</v>
      </c>
      <c r="R223" s="7" t="str">
        <f aca="false">IF(MAX(0,I223)*(1-가정!$B$6)*'1억 상환'!$B$6&gt;='1억 상환'!$B$5,A223,"")</f>
        <v/>
      </c>
    </row>
    <row r="224" customFormat="false" ht="15" hidden="false" customHeight="false" outlineLevel="0" collapsed="false">
      <c r="A224" s="7" t="n">
        <v>219</v>
      </c>
      <c r="B224" s="7" t="n">
        <f aca="false">A224*가정!$B$10</f>
        <v>63510000</v>
      </c>
      <c r="C224" s="7" t="n">
        <f aca="false">가정!$B$34</f>
        <v>3590000</v>
      </c>
      <c r="D224" s="7" t="n">
        <f aca="false">ROUNDUP(MAX(0,A224-가정!$B$18)/가정!$B$19,0)</f>
        <v>4</v>
      </c>
      <c r="E224" s="7" t="n">
        <f aca="false">D224*가정!$B$20+ROUNDUP(A224/가정!$B$22,0)*가정!$B$21+ROUNDUP(A224/가정!$B$24,0)*가정!$B$23</f>
        <v>25200000</v>
      </c>
      <c r="F224" s="7" t="n">
        <f aca="false">A224*가정!$B$26+B224*가정!$B$27</f>
        <v>219000</v>
      </c>
      <c r="G224" s="7" t="n">
        <f aca="false">B224*가정!$B$28</f>
        <v>0</v>
      </c>
      <c r="H224" s="7" t="n">
        <f aca="false">B224-C224-E224-F224-G224</f>
        <v>34501000</v>
      </c>
      <c r="I224" s="7" t="n">
        <f aca="false">H224-IF(가정!$B$7=1,가정!$B$5,0)</f>
        <v>30501000</v>
      </c>
      <c r="J224" s="7" t="n">
        <f aca="false">MAX(0,I224)*가정!$B$6</f>
        <v>27450900</v>
      </c>
      <c r="K224" s="7" t="n">
        <f aca="false">가정!$B$5+J224</f>
        <v>31450900</v>
      </c>
      <c r="L224" s="7" t="n">
        <f aca="false">H224-K224</f>
        <v>3050100</v>
      </c>
      <c r="M224" s="8" t="n">
        <f aca="false">IF(B224=0,0,K224/B224)</f>
        <v>0.495211777672807</v>
      </c>
      <c r="N224" s="7" t="n">
        <f aca="false">K224/가정!$B$8</f>
        <v>157254.5</v>
      </c>
      <c r="O224" s="7" t="n">
        <f aca="false">IF(I224&gt;0,A224,"")</f>
        <v>219</v>
      </c>
      <c r="P224" s="7" t="n">
        <f aca="false">IF(L224&gt;=0,A224,"")</f>
        <v>219</v>
      </c>
      <c r="Q224" s="7" t="n">
        <f aca="false">IF(K224&gt;=가정!$B$32,A224,"")</f>
        <v>219</v>
      </c>
      <c r="R224" s="7" t="str">
        <f aca="false">IF(MAX(0,I224)*(1-가정!$B$6)*'1억 상환'!$B$6&gt;='1억 상환'!$B$5,A224,"")</f>
        <v/>
      </c>
    </row>
    <row r="225" customFormat="false" ht="15" hidden="false" customHeight="false" outlineLevel="0" collapsed="false">
      <c r="A225" s="7" t="n">
        <v>220</v>
      </c>
      <c r="B225" s="7" t="n">
        <f aca="false">A225*가정!$B$10</f>
        <v>63800000</v>
      </c>
      <c r="C225" s="7" t="n">
        <f aca="false">가정!$B$34</f>
        <v>3590000</v>
      </c>
      <c r="D225" s="7" t="n">
        <f aca="false">ROUNDUP(MAX(0,A225-가정!$B$18)/가정!$B$19,0)</f>
        <v>4</v>
      </c>
      <c r="E225" s="7" t="n">
        <f aca="false">D225*가정!$B$20+ROUNDUP(A225/가정!$B$22,0)*가정!$B$21+ROUNDUP(A225/가정!$B$24,0)*가정!$B$23</f>
        <v>25200000</v>
      </c>
      <c r="F225" s="7" t="n">
        <f aca="false">A225*가정!$B$26+B225*가정!$B$27</f>
        <v>220000</v>
      </c>
      <c r="G225" s="7" t="n">
        <f aca="false">B225*가정!$B$28</f>
        <v>0</v>
      </c>
      <c r="H225" s="7" t="n">
        <f aca="false">B225-C225-E225-F225-G225</f>
        <v>34790000</v>
      </c>
      <c r="I225" s="7" t="n">
        <f aca="false">H225-IF(가정!$B$7=1,가정!$B$5,0)</f>
        <v>30790000</v>
      </c>
      <c r="J225" s="7" t="n">
        <f aca="false">MAX(0,I225)*가정!$B$6</f>
        <v>27711000</v>
      </c>
      <c r="K225" s="7" t="n">
        <f aca="false">가정!$B$5+J225</f>
        <v>31711000</v>
      </c>
      <c r="L225" s="7" t="n">
        <f aca="false">H225-K225</f>
        <v>3079000</v>
      </c>
      <c r="M225" s="8" t="n">
        <f aca="false">IF(B225=0,0,K225/B225)</f>
        <v>0.497037617554859</v>
      </c>
      <c r="N225" s="7" t="n">
        <f aca="false">K225/가정!$B$8</f>
        <v>158555</v>
      </c>
      <c r="O225" s="7" t="n">
        <f aca="false">IF(I225&gt;0,A225,"")</f>
        <v>220</v>
      </c>
      <c r="P225" s="7" t="n">
        <f aca="false">IF(L225&gt;=0,A225,"")</f>
        <v>220</v>
      </c>
      <c r="Q225" s="7" t="n">
        <f aca="false">IF(K225&gt;=가정!$B$32,A225,"")</f>
        <v>220</v>
      </c>
      <c r="R225" s="7" t="str">
        <f aca="false">IF(MAX(0,I225)*(1-가정!$B$6)*'1억 상환'!$B$6&gt;='1억 상환'!$B$5,A225,"")</f>
        <v/>
      </c>
    </row>
    <row r="226" customFormat="false" ht="15" hidden="false" customHeight="false" outlineLevel="0" collapsed="false">
      <c r="A226" s="7" t="n">
        <v>221</v>
      </c>
      <c r="B226" s="7" t="n">
        <f aca="false">A226*가정!$B$10</f>
        <v>64090000</v>
      </c>
      <c r="C226" s="7" t="n">
        <f aca="false">가정!$B$34</f>
        <v>3590000</v>
      </c>
      <c r="D226" s="7" t="n">
        <f aca="false">ROUNDUP(MAX(0,A226-가정!$B$18)/가정!$B$19,0)</f>
        <v>4</v>
      </c>
      <c r="E226" s="7" t="n">
        <f aca="false">D226*가정!$B$20+ROUNDUP(A226/가정!$B$22,0)*가정!$B$21+ROUNDUP(A226/가정!$B$24,0)*가정!$B$23</f>
        <v>25200000</v>
      </c>
      <c r="F226" s="7" t="n">
        <f aca="false">A226*가정!$B$26+B226*가정!$B$27</f>
        <v>221000</v>
      </c>
      <c r="G226" s="7" t="n">
        <f aca="false">B226*가정!$B$28</f>
        <v>0</v>
      </c>
      <c r="H226" s="7" t="n">
        <f aca="false">B226-C226-E226-F226-G226</f>
        <v>35079000</v>
      </c>
      <c r="I226" s="7" t="n">
        <f aca="false">H226-IF(가정!$B$7=1,가정!$B$5,0)</f>
        <v>31079000</v>
      </c>
      <c r="J226" s="7" t="n">
        <f aca="false">MAX(0,I226)*가정!$B$6</f>
        <v>27971100</v>
      </c>
      <c r="K226" s="7" t="n">
        <f aca="false">가정!$B$5+J226</f>
        <v>31971100</v>
      </c>
      <c r="L226" s="7" t="n">
        <f aca="false">H226-K226</f>
        <v>3107900</v>
      </c>
      <c r="M226" s="8" t="n">
        <f aca="false">IF(B226=0,0,K226/B226)</f>
        <v>0.498846933999064</v>
      </c>
      <c r="N226" s="7" t="n">
        <f aca="false">K226/가정!$B$8</f>
        <v>159855.5</v>
      </c>
      <c r="O226" s="7" t="n">
        <f aca="false">IF(I226&gt;0,A226,"")</f>
        <v>221</v>
      </c>
      <c r="P226" s="7" t="n">
        <f aca="false">IF(L226&gt;=0,A226,"")</f>
        <v>221</v>
      </c>
      <c r="Q226" s="7" t="n">
        <f aca="false">IF(K226&gt;=가정!$B$32,A226,"")</f>
        <v>221</v>
      </c>
      <c r="R226" s="7" t="str">
        <f aca="false">IF(MAX(0,I226)*(1-가정!$B$6)*'1억 상환'!$B$6&gt;='1억 상환'!$B$5,A226,"")</f>
        <v/>
      </c>
    </row>
    <row r="227" customFormat="false" ht="15" hidden="false" customHeight="false" outlineLevel="0" collapsed="false">
      <c r="A227" s="7" t="n">
        <v>222</v>
      </c>
      <c r="B227" s="7" t="n">
        <f aca="false">A227*가정!$B$10</f>
        <v>64380000</v>
      </c>
      <c r="C227" s="7" t="n">
        <f aca="false">가정!$B$34</f>
        <v>3590000</v>
      </c>
      <c r="D227" s="7" t="n">
        <f aca="false">ROUNDUP(MAX(0,A227-가정!$B$18)/가정!$B$19,0)</f>
        <v>4</v>
      </c>
      <c r="E227" s="7" t="n">
        <f aca="false">D227*가정!$B$20+ROUNDUP(A227/가정!$B$22,0)*가정!$B$21+ROUNDUP(A227/가정!$B$24,0)*가정!$B$23</f>
        <v>25200000</v>
      </c>
      <c r="F227" s="7" t="n">
        <f aca="false">A227*가정!$B$26+B227*가정!$B$27</f>
        <v>222000</v>
      </c>
      <c r="G227" s="7" t="n">
        <f aca="false">B227*가정!$B$28</f>
        <v>0</v>
      </c>
      <c r="H227" s="7" t="n">
        <f aca="false">B227-C227-E227-F227-G227</f>
        <v>35368000</v>
      </c>
      <c r="I227" s="7" t="n">
        <f aca="false">H227-IF(가정!$B$7=1,가정!$B$5,0)</f>
        <v>31368000</v>
      </c>
      <c r="J227" s="7" t="n">
        <f aca="false">MAX(0,I227)*가정!$B$6</f>
        <v>28231200</v>
      </c>
      <c r="K227" s="7" t="n">
        <f aca="false">가정!$B$5+J227</f>
        <v>32231200</v>
      </c>
      <c r="L227" s="7" t="n">
        <f aca="false">H227-K227</f>
        <v>3136800</v>
      </c>
      <c r="M227" s="8" t="n">
        <f aca="false">IF(B227=0,0,K227/B227)</f>
        <v>0.500639950295123</v>
      </c>
      <c r="N227" s="7" t="n">
        <f aca="false">K227/가정!$B$8</f>
        <v>161156</v>
      </c>
      <c r="O227" s="7" t="n">
        <f aca="false">IF(I227&gt;0,A227,"")</f>
        <v>222</v>
      </c>
      <c r="P227" s="7" t="n">
        <f aca="false">IF(L227&gt;=0,A227,"")</f>
        <v>222</v>
      </c>
      <c r="Q227" s="7" t="n">
        <f aca="false">IF(K227&gt;=가정!$B$32,A227,"")</f>
        <v>222</v>
      </c>
      <c r="R227" s="7" t="str">
        <f aca="false">IF(MAX(0,I227)*(1-가정!$B$6)*'1억 상환'!$B$6&gt;='1억 상환'!$B$5,A227,"")</f>
        <v/>
      </c>
    </row>
    <row r="228" customFormat="false" ht="15" hidden="false" customHeight="false" outlineLevel="0" collapsed="false">
      <c r="A228" s="7" t="n">
        <v>223</v>
      </c>
      <c r="B228" s="7" t="n">
        <f aca="false">A228*가정!$B$10</f>
        <v>64670000</v>
      </c>
      <c r="C228" s="7" t="n">
        <f aca="false">가정!$B$34</f>
        <v>3590000</v>
      </c>
      <c r="D228" s="7" t="n">
        <f aca="false">ROUNDUP(MAX(0,A228-가정!$B$18)/가정!$B$19,0)</f>
        <v>4</v>
      </c>
      <c r="E228" s="7" t="n">
        <f aca="false">D228*가정!$B$20+ROUNDUP(A228/가정!$B$22,0)*가정!$B$21+ROUNDUP(A228/가정!$B$24,0)*가정!$B$23</f>
        <v>25200000</v>
      </c>
      <c r="F228" s="7" t="n">
        <f aca="false">A228*가정!$B$26+B228*가정!$B$27</f>
        <v>223000</v>
      </c>
      <c r="G228" s="7" t="n">
        <f aca="false">B228*가정!$B$28</f>
        <v>0</v>
      </c>
      <c r="H228" s="7" t="n">
        <f aca="false">B228-C228-E228-F228-G228</f>
        <v>35657000</v>
      </c>
      <c r="I228" s="7" t="n">
        <f aca="false">H228-IF(가정!$B$7=1,가정!$B$5,0)</f>
        <v>31657000</v>
      </c>
      <c r="J228" s="7" t="n">
        <f aca="false">MAX(0,I228)*가정!$B$6</f>
        <v>28491300</v>
      </c>
      <c r="K228" s="7" t="n">
        <f aca="false">가정!$B$5+J228</f>
        <v>32491300</v>
      </c>
      <c r="L228" s="7" t="n">
        <f aca="false">H228-K228</f>
        <v>3165700</v>
      </c>
      <c r="M228" s="8" t="n">
        <f aca="false">IF(B228=0,0,K228/B228)</f>
        <v>0.50241688572754</v>
      </c>
      <c r="N228" s="7" t="n">
        <f aca="false">K228/가정!$B$8</f>
        <v>162456.5</v>
      </c>
      <c r="O228" s="7" t="n">
        <f aca="false">IF(I228&gt;0,A228,"")</f>
        <v>223</v>
      </c>
      <c r="P228" s="7" t="n">
        <f aca="false">IF(L228&gt;=0,A228,"")</f>
        <v>223</v>
      </c>
      <c r="Q228" s="7" t="n">
        <f aca="false">IF(K228&gt;=가정!$B$32,A228,"")</f>
        <v>223</v>
      </c>
      <c r="R228" s="7" t="str">
        <f aca="false">IF(MAX(0,I228)*(1-가정!$B$6)*'1억 상환'!$B$6&gt;='1억 상환'!$B$5,A228,"")</f>
        <v/>
      </c>
    </row>
    <row r="229" customFormat="false" ht="15" hidden="false" customHeight="false" outlineLevel="0" collapsed="false">
      <c r="A229" s="7" t="n">
        <v>224</v>
      </c>
      <c r="B229" s="7" t="n">
        <f aca="false">A229*가정!$B$10</f>
        <v>64960000</v>
      </c>
      <c r="C229" s="7" t="n">
        <f aca="false">가정!$B$34</f>
        <v>3590000</v>
      </c>
      <c r="D229" s="7" t="n">
        <f aca="false">ROUNDUP(MAX(0,A229-가정!$B$18)/가정!$B$19,0)</f>
        <v>4</v>
      </c>
      <c r="E229" s="7" t="n">
        <f aca="false">D229*가정!$B$20+ROUNDUP(A229/가정!$B$22,0)*가정!$B$21+ROUNDUP(A229/가정!$B$24,0)*가정!$B$23</f>
        <v>25200000</v>
      </c>
      <c r="F229" s="7" t="n">
        <f aca="false">A229*가정!$B$26+B229*가정!$B$27</f>
        <v>224000</v>
      </c>
      <c r="G229" s="7" t="n">
        <f aca="false">B229*가정!$B$28</f>
        <v>0</v>
      </c>
      <c r="H229" s="7" t="n">
        <f aca="false">B229-C229-E229-F229-G229</f>
        <v>35946000</v>
      </c>
      <c r="I229" s="7" t="n">
        <f aca="false">H229-IF(가정!$B$7=1,가정!$B$5,0)</f>
        <v>31946000</v>
      </c>
      <c r="J229" s="7" t="n">
        <f aca="false">MAX(0,I229)*가정!$B$6</f>
        <v>28751400</v>
      </c>
      <c r="K229" s="7" t="n">
        <f aca="false">가정!$B$5+J229</f>
        <v>32751400</v>
      </c>
      <c r="L229" s="7" t="n">
        <f aca="false">H229-K229</f>
        <v>3194600</v>
      </c>
      <c r="M229" s="8" t="n">
        <f aca="false">IF(B229=0,0,K229/B229)</f>
        <v>0.504177955665025</v>
      </c>
      <c r="N229" s="7" t="n">
        <f aca="false">K229/가정!$B$8</f>
        <v>163757</v>
      </c>
      <c r="O229" s="7" t="n">
        <f aca="false">IF(I229&gt;0,A229,"")</f>
        <v>224</v>
      </c>
      <c r="P229" s="7" t="n">
        <f aca="false">IF(L229&gt;=0,A229,"")</f>
        <v>224</v>
      </c>
      <c r="Q229" s="7" t="n">
        <f aca="false">IF(K229&gt;=가정!$B$32,A229,"")</f>
        <v>224</v>
      </c>
      <c r="R229" s="7" t="str">
        <f aca="false">IF(MAX(0,I229)*(1-가정!$B$6)*'1억 상환'!$B$6&gt;='1억 상환'!$B$5,A229,"")</f>
        <v/>
      </c>
    </row>
    <row r="230" customFormat="false" ht="15" hidden="false" customHeight="false" outlineLevel="0" collapsed="false">
      <c r="A230" s="7" t="n">
        <v>225</v>
      </c>
      <c r="B230" s="7" t="n">
        <f aca="false">A230*가정!$B$10</f>
        <v>65250000</v>
      </c>
      <c r="C230" s="7" t="n">
        <f aca="false">가정!$B$34</f>
        <v>3590000</v>
      </c>
      <c r="D230" s="7" t="n">
        <f aca="false">ROUNDUP(MAX(0,A230-가정!$B$18)/가정!$B$19,0)</f>
        <v>4</v>
      </c>
      <c r="E230" s="7" t="n">
        <f aca="false">D230*가정!$B$20+ROUNDUP(A230/가정!$B$22,0)*가정!$B$21+ROUNDUP(A230/가정!$B$24,0)*가정!$B$23</f>
        <v>25200000</v>
      </c>
      <c r="F230" s="7" t="n">
        <f aca="false">A230*가정!$B$26+B230*가정!$B$27</f>
        <v>225000</v>
      </c>
      <c r="G230" s="7" t="n">
        <f aca="false">B230*가정!$B$28</f>
        <v>0</v>
      </c>
      <c r="H230" s="7" t="n">
        <f aca="false">B230-C230-E230-F230-G230</f>
        <v>36235000</v>
      </c>
      <c r="I230" s="7" t="n">
        <f aca="false">H230-IF(가정!$B$7=1,가정!$B$5,0)</f>
        <v>32235000</v>
      </c>
      <c r="J230" s="7" t="n">
        <f aca="false">MAX(0,I230)*가정!$B$6</f>
        <v>29011500</v>
      </c>
      <c r="K230" s="7" t="n">
        <f aca="false">가정!$B$5+J230</f>
        <v>33011500</v>
      </c>
      <c r="L230" s="7" t="n">
        <f aca="false">H230-K230</f>
        <v>3223500</v>
      </c>
      <c r="M230" s="8" t="n">
        <f aca="false">IF(B230=0,0,K230/B230)</f>
        <v>0.50592337164751</v>
      </c>
      <c r="N230" s="7" t="n">
        <f aca="false">K230/가정!$B$8</f>
        <v>165057.5</v>
      </c>
      <c r="O230" s="7" t="n">
        <f aca="false">IF(I230&gt;0,A230,"")</f>
        <v>225</v>
      </c>
      <c r="P230" s="7" t="n">
        <f aca="false">IF(L230&gt;=0,A230,"")</f>
        <v>225</v>
      </c>
      <c r="Q230" s="7" t="n">
        <f aca="false">IF(K230&gt;=가정!$B$32,A230,"")</f>
        <v>225</v>
      </c>
      <c r="R230" s="7" t="str">
        <f aca="false">IF(MAX(0,I230)*(1-가정!$B$6)*'1억 상환'!$B$6&gt;='1억 상환'!$B$5,A230,"")</f>
        <v/>
      </c>
    </row>
    <row r="231" customFormat="false" ht="15" hidden="false" customHeight="false" outlineLevel="0" collapsed="false">
      <c r="A231" s="7" t="n">
        <v>226</v>
      </c>
      <c r="B231" s="7" t="n">
        <f aca="false">A231*가정!$B$10</f>
        <v>65540000</v>
      </c>
      <c r="C231" s="7" t="n">
        <f aca="false">가정!$B$34</f>
        <v>3590000</v>
      </c>
      <c r="D231" s="7" t="n">
        <f aca="false">ROUNDUP(MAX(0,A231-가정!$B$18)/가정!$B$19,0)</f>
        <v>4</v>
      </c>
      <c r="E231" s="7" t="n">
        <f aca="false">D231*가정!$B$20+ROUNDUP(A231/가정!$B$22,0)*가정!$B$21+ROUNDUP(A231/가정!$B$24,0)*가정!$B$23</f>
        <v>25200000</v>
      </c>
      <c r="F231" s="7" t="n">
        <f aca="false">A231*가정!$B$26+B231*가정!$B$27</f>
        <v>226000</v>
      </c>
      <c r="G231" s="7" t="n">
        <f aca="false">B231*가정!$B$28</f>
        <v>0</v>
      </c>
      <c r="H231" s="7" t="n">
        <f aca="false">B231-C231-E231-F231-G231</f>
        <v>36524000</v>
      </c>
      <c r="I231" s="7" t="n">
        <f aca="false">H231-IF(가정!$B$7=1,가정!$B$5,0)</f>
        <v>32524000</v>
      </c>
      <c r="J231" s="7" t="n">
        <f aca="false">MAX(0,I231)*가정!$B$6</f>
        <v>29271600</v>
      </c>
      <c r="K231" s="7" t="n">
        <f aca="false">가정!$B$5+J231</f>
        <v>33271600</v>
      </c>
      <c r="L231" s="7" t="n">
        <f aca="false">H231-K231</f>
        <v>3252400</v>
      </c>
      <c r="M231" s="8" t="n">
        <f aca="false">IF(B231=0,0,K231/B231)</f>
        <v>0.507653341470858</v>
      </c>
      <c r="N231" s="7" t="n">
        <f aca="false">K231/가정!$B$8</f>
        <v>166358</v>
      </c>
      <c r="O231" s="7" t="n">
        <f aca="false">IF(I231&gt;0,A231,"")</f>
        <v>226</v>
      </c>
      <c r="P231" s="7" t="n">
        <f aca="false">IF(L231&gt;=0,A231,"")</f>
        <v>226</v>
      </c>
      <c r="Q231" s="7" t="n">
        <f aca="false">IF(K231&gt;=가정!$B$32,A231,"")</f>
        <v>226</v>
      </c>
      <c r="R231" s="7" t="str">
        <f aca="false">IF(MAX(0,I231)*(1-가정!$B$6)*'1억 상환'!$B$6&gt;='1억 상환'!$B$5,A231,"")</f>
        <v/>
      </c>
    </row>
    <row r="232" customFormat="false" ht="15" hidden="false" customHeight="false" outlineLevel="0" collapsed="false">
      <c r="A232" s="7" t="n">
        <v>227</v>
      </c>
      <c r="B232" s="7" t="n">
        <f aca="false">A232*가정!$B$10</f>
        <v>65830000</v>
      </c>
      <c r="C232" s="7" t="n">
        <f aca="false">가정!$B$34</f>
        <v>3590000</v>
      </c>
      <c r="D232" s="7" t="n">
        <f aca="false">ROUNDUP(MAX(0,A232-가정!$B$18)/가정!$B$19,0)</f>
        <v>4</v>
      </c>
      <c r="E232" s="7" t="n">
        <f aca="false">D232*가정!$B$20+ROUNDUP(A232/가정!$B$22,0)*가정!$B$21+ROUNDUP(A232/가정!$B$24,0)*가정!$B$23</f>
        <v>25200000</v>
      </c>
      <c r="F232" s="7" t="n">
        <f aca="false">A232*가정!$B$26+B232*가정!$B$27</f>
        <v>227000</v>
      </c>
      <c r="G232" s="7" t="n">
        <f aca="false">B232*가정!$B$28</f>
        <v>0</v>
      </c>
      <c r="H232" s="7" t="n">
        <f aca="false">B232-C232-E232-F232-G232</f>
        <v>36813000</v>
      </c>
      <c r="I232" s="7" t="n">
        <f aca="false">H232-IF(가정!$B$7=1,가정!$B$5,0)</f>
        <v>32813000</v>
      </c>
      <c r="J232" s="7" t="n">
        <f aca="false">MAX(0,I232)*가정!$B$6</f>
        <v>29531700</v>
      </c>
      <c r="K232" s="7" t="n">
        <f aca="false">가정!$B$5+J232</f>
        <v>33531700</v>
      </c>
      <c r="L232" s="7" t="n">
        <f aca="false">H232-K232</f>
        <v>3281300</v>
      </c>
      <c r="M232" s="8" t="n">
        <f aca="false">IF(B232=0,0,K232/B232)</f>
        <v>0.50936806926933</v>
      </c>
      <c r="N232" s="7" t="n">
        <f aca="false">K232/가정!$B$8</f>
        <v>167658.5</v>
      </c>
      <c r="O232" s="7" t="n">
        <f aca="false">IF(I232&gt;0,A232,"")</f>
        <v>227</v>
      </c>
      <c r="P232" s="7" t="n">
        <f aca="false">IF(L232&gt;=0,A232,"")</f>
        <v>227</v>
      </c>
      <c r="Q232" s="7" t="n">
        <f aca="false">IF(K232&gt;=가정!$B$32,A232,"")</f>
        <v>227</v>
      </c>
      <c r="R232" s="7" t="str">
        <f aca="false">IF(MAX(0,I232)*(1-가정!$B$6)*'1억 상환'!$B$6&gt;='1억 상환'!$B$5,A232,"")</f>
        <v/>
      </c>
    </row>
    <row r="233" customFormat="false" ht="15" hidden="false" customHeight="false" outlineLevel="0" collapsed="false">
      <c r="A233" s="7" t="n">
        <v>228</v>
      </c>
      <c r="B233" s="7" t="n">
        <f aca="false">A233*가정!$B$10</f>
        <v>66120000</v>
      </c>
      <c r="C233" s="7" t="n">
        <f aca="false">가정!$B$34</f>
        <v>3590000</v>
      </c>
      <c r="D233" s="7" t="n">
        <f aca="false">ROUNDUP(MAX(0,A233-가정!$B$18)/가정!$B$19,0)</f>
        <v>4</v>
      </c>
      <c r="E233" s="7" t="n">
        <f aca="false">D233*가정!$B$20+ROUNDUP(A233/가정!$B$22,0)*가정!$B$21+ROUNDUP(A233/가정!$B$24,0)*가정!$B$23</f>
        <v>25200000</v>
      </c>
      <c r="F233" s="7" t="n">
        <f aca="false">A233*가정!$B$26+B233*가정!$B$27</f>
        <v>228000</v>
      </c>
      <c r="G233" s="7" t="n">
        <f aca="false">B233*가정!$B$28</f>
        <v>0</v>
      </c>
      <c r="H233" s="7" t="n">
        <f aca="false">B233-C233-E233-F233-G233</f>
        <v>37102000</v>
      </c>
      <c r="I233" s="7" t="n">
        <f aca="false">H233-IF(가정!$B$7=1,가정!$B$5,0)</f>
        <v>33102000</v>
      </c>
      <c r="J233" s="7" t="n">
        <f aca="false">MAX(0,I233)*가정!$B$6</f>
        <v>29791800</v>
      </c>
      <c r="K233" s="7" t="n">
        <f aca="false">가정!$B$5+J233</f>
        <v>33791800</v>
      </c>
      <c r="L233" s="7" t="n">
        <f aca="false">H233-K233</f>
        <v>3310200</v>
      </c>
      <c r="M233" s="8" t="n">
        <f aca="false">IF(B233=0,0,K233/B233)</f>
        <v>0.511067755595886</v>
      </c>
      <c r="N233" s="7" t="n">
        <f aca="false">K233/가정!$B$8</f>
        <v>168959</v>
      </c>
      <c r="O233" s="7" t="n">
        <f aca="false">IF(I233&gt;0,A233,"")</f>
        <v>228</v>
      </c>
      <c r="P233" s="7" t="n">
        <f aca="false">IF(L233&gt;=0,A233,"")</f>
        <v>228</v>
      </c>
      <c r="Q233" s="7" t="n">
        <f aca="false">IF(K233&gt;=가정!$B$32,A233,"")</f>
        <v>228</v>
      </c>
      <c r="R233" s="7" t="str">
        <f aca="false">IF(MAX(0,I233)*(1-가정!$B$6)*'1억 상환'!$B$6&gt;='1억 상환'!$B$5,A233,"")</f>
        <v/>
      </c>
    </row>
    <row r="234" customFormat="false" ht="15" hidden="false" customHeight="false" outlineLevel="0" collapsed="false">
      <c r="A234" s="7" t="n">
        <v>229</v>
      </c>
      <c r="B234" s="7" t="n">
        <f aca="false">A234*가정!$B$10</f>
        <v>66410000</v>
      </c>
      <c r="C234" s="7" t="n">
        <f aca="false">가정!$B$34</f>
        <v>3590000</v>
      </c>
      <c r="D234" s="7" t="n">
        <f aca="false">ROUNDUP(MAX(0,A234-가정!$B$18)/가정!$B$19,0)</f>
        <v>4</v>
      </c>
      <c r="E234" s="7" t="n">
        <f aca="false">D234*가정!$B$20+ROUNDUP(A234/가정!$B$22,0)*가정!$B$21+ROUNDUP(A234/가정!$B$24,0)*가정!$B$23</f>
        <v>25200000</v>
      </c>
      <c r="F234" s="7" t="n">
        <f aca="false">A234*가정!$B$26+B234*가정!$B$27</f>
        <v>229000</v>
      </c>
      <c r="G234" s="7" t="n">
        <f aca="false">B234*가정!$B$28</f>
        <v>0</v>
      </c>
      <c r="H234" s="7" t="n">
        <f aca="false">B234-C234-E234-F234-G234</f>
        <v>37391000</v>
      </c>
      <c r="I234" s="7" t="n">
        <f aca="false">H234-IF(가정!$B$7=1,가정!$B$5,0)</f>
        <v>33391000</v>
      </c>
      <c r="J234" s="7" t="n">
        <f aca="false">MAX(0,I234)*가정!$B$6</f>
        <v>30051900</v>
      </c>
      <c r="K234" s="7" t="n">
        <f aca="false">가정!$B$5+J234</f>
        <v>34051900</v>
      </c>
      <c r="L234" s="7" t="n">
        <f aca="false">H234-K234</f>
        <v>3339100</v>
      </c>
      <c r="M234" s="8" t="n">
        <f aca="false">IF(B234=0,0,K234/B234)</f>
        <v>0.512752597500377</v>
      </c>
      <c r="N234" s="7" t="n">
        <f aca="false">K234/가정!$B$8</f>
        <v>170259.5</v>
      </c>
      <c r="O234" s="7" t="n">
        <f aca="false">IF(I234&gt;0,A234,"")</f>
        <v>229</v>
      </c>
      <c r="P234" s="7" t="n">
        <f aca="false">IF(L234&gt;=0,A234,"")</f>
        <v>229</v>
      </c>
      <c r="Q234" s="7" t="n">
        <f aca="false">IF(K234&gt;=가정!$B$32,A234,"")</f>
        <v>229</v>
      </c>
      <c r="R234" s="7" t="str">
        <f aca="false">IF(MAX(0,I234)*(1-가정!$B$6)*'1억 상환'!$B$6&gt;='1억 상환'!$B$5,A234,"")</f>
        <v/>
      </c>
    </row>
    <row r="235" customFormat="false" ht="15" hidden="false" customHeight="false" outlineLevel="0" collapsed="false">
      <c r="A235" s="7" t="n">
        <v>230</v>
      </c>
      <c r="B235" s="7" t="n">
        <f aca="false">A235*가정!$B$10</f>
        <v>66700000</v>
      </c>
      <c r="C235" s="7" t="n">
        <f aca="false">가정!$B$34</f>
        <v>3590000</v>
      </c>
      <c r="D235" s="7" t="n">
        <f aca="false">ROUNDUP(MAX(0,A235-가정!$B$18)/가정!$B$19,0)</f>
        <v>4</v>
      </c>
      <c r="E235" s="7" t="n">
        <f aca="false">D235*가정!$B$20+ROUNDUP(A235/가정!$B$22,0)*가정!$B$21+ROUNDUP(A235/가정!$B$24,0)*가정!$B$23</f>
        <v>25200000</v>
      </c>
      <c r="F235" s="7" t="n">
        <f aca="false">A235*가정!$B$26+B235*가정!$B$27</f>
        <v>230000</v>
      </c>
      <c r="G235" s="7" t="n">
        <f aca="false">B235*가정!$B$28</f>
        <v>0</v>
      </c>
      <c r="H235" s="7" t="n">
        <f aca="false">B235-C235-E235-F235-G235</f>
        <v>37680000</v>
      </c>
      <c r="I235" s="7" t="n">
        <f aca="false">H235-IF(가정!$B$7=1,가정!$B$5,0)</f>
        <v>33680000</v>
      </c>
      <c r="J235" s="7" t="n">
        <f aca="false">MAX(0,I235)*가정!$B$6</f>
        <v>30312000</v>
      </c>
      <c r="K235" s="7" t="n">
        <f aca="false">가정!$B$5+J235</f>
        <v>34312000</v>
      </c>
      <c r="L235" s="7" t="n">
        <f aca="false">H235-K235</f>
        <v>3368000</v>
      </c>
      <c r="M235" s="8" t="n">
        <f aca="false">IF(B235=0,0,K235/B235)</f>
        <v>0.514422788605697</v>
      </c>
      <c r="N235" s="7" t="n">
        <f aca="false">K235/가정!$B$8</f>
        <v>171560</v>
      </c>
      <c r="O235" s="7" t="n">
        <f aca="false">IF(I235&gt;0,A235,"")</f>
        <v>230</v>
      </c>
      <c r="P235" s="7" t="n">
        <f aca="false">IF(L235&gt;=0,A235,"")</f>
        <v>230</v>
      </c>
      <c r="Q235" s="7" t="n">
        <f aca="false">IF(K235&gt;=가정!$B$32,A235,"")</f>
        <v>230</v>
      </c>
      <c r="R235" s="7" t="str">
        <f aca="false">IF(MAX(0,I235)*(1-가정!$B$6)*'1억 상환'!$B$6&gt;='1억 상환'!$B$5,A235,"")</f>
        <v/>
      </c>
    </row>
    <row r="236" customFormat="false" ht="15" hidden="false" customHeight="false" outlineLevel="0" collapsed="false">
      <c r="A236" s="7" t="n">
        <v>231</v>
      </c>
      <c r="B236" s="7" t="n">
        <f aca="false">A236*가정!$B$10</f>
        <v>66990000</v>
      </c>
      <c r="C236" s="7" t="n">
        <f aca="false">가정!$B$34</f>
        <v>3590000</v>
      </c>
      <c r="D236" s="7" t="n">
        <f aca="false">ROUNDUP(MAX(0,A236-가정!$B$18)/가정!$B$19,0)</f>
        <v>4</v>
      </c>
      <c r="E236" s="7" t="n">
        <f aca="false">D236*가정!$B$20+ROUNDUP(A236/가정!$B$22,0)*가정!$B$21+ROUNDUP(A236/가정!$B$24,0)*가정!$B$23</f>
        <v>25200000</v>
      </c>
      <c r="F236" s="7" t="n">
        <f aca="false">A236*가정!$B$26+B236*가정!$B$27</f>
        <v>231000</v>
      </c>
      <c r="G236" s="7" t="n">
        <f aca="false">B236*가정!$B$28</f>
        <v>0</v>
      </c>
      <c r="H236" s="7" t="n">
        <f aca="false">B236-C236-E236-F236-G236</f>
        <v>37969000</v>
      </c>
      <c r="I236" s="7" t="n">
        <f aca="false">H236-IF(가정!$B$7=1,가정!$B$5,0)</f>
        <v>33969000</v>
      </c>
      <c r="J236" s="7" t="n">
        <f aca="false">MAX(0,I236)*가정!$B$6</f>
        <v>30572100</v>
      </c>
      <c r="K236" s="7" t="n">
        <f aca="false">가정!$B$5+J236</f>
        <v>34572100</v>
      </c>
      <c r="L236" s="7" t="n">
        <f aca="false">H236-K236</f>
        <v>3396900</v>
      </c>
      <c r="M236" s="8" t="n">
        <f aca="false">IF(B236=0,0,K236/B236)</f>
        <v>0.516078519181968</v>
      </c>
      <c r="N236" s="7" t="n">
        <f aca="false">K236/가정!$B$8</f>
        <v>172860.5</v>
      </c>
      <c r="O236" s="7" t="n">
        <f aca="false">IF(I236&gt;0,A236,"")</f>
        <v>231</v>
      </c>
      <c r="P236" s="7" t="n">
        <f aca="false">IF(L236&gt;=0,A236,"")</f>
        <v>231</v>
      </c>
      <c r="Q236" s="7" t="n">
        <f aca="false">IF(K236&gt;=가정!$B$32,A236,"")</f>
        <v>231</v>
      </c>
      <c r="R236" s="7" t="str">
        <f aca="false">IF(MAX(0,I236)*(1-가정!$B$6)*'1억 상환'!$B$6&gt;='1억 상환'!$B$5,A236,"")</f>
        <v/>
      </c>
    </row>
    <row r="237" customFormat="false" ht="15" hidden="false" customHeight="false" outlineLevel="0" collapsed="false">
      <c r="A237" s="7" t="n">
        <v>232</v>
      </c>
      <c r="B237" s="7" t="n">
        <f aca="false">A237*가정!$B$10</f>
        <v>67280000</v>
      </c>
      <c r="C237" s="7" t="n">
        <f aca="false">가정!$B$34</f>
        <v>3590000</v>
      </c>
      <c r="D237" s="7" t="n">
        <f aca="false">ROUNDUP(MAX(0,A237-가정!$B$18)/가정!$B$19,0)</f>
        <v>4</v>
      </c>
      <c r="E237" s="7" t="n">
        <f aca="false">D237*가정!$B$20+ROUNDUP(A237/가정!$B$22,0)*가정!$B$21+ROUNDUP(A237/가정!$B$24,0)*가정!$B$23</f>
        <v>25200000</v>
      </c>
      <c r="F237" s="7" t="n">
        <f aca="false">A237*가정!$B$26+B237*가정!$B$27</f>
        <v>232000</v>
      </c>
      <c r="G237" s="7" t="n">
        <f aca="false">B237*가정!$B$28</f>
        <v>0</v>
      </c>
      <c r="H237" s="7" t="n">
        <f aca="false">B237-C237-E237-F237-G237</f>
        <v>38258000</v>
      </c>
      <c r="I237" s="7" t="n">
        <f aca="false">H237-IF(가정!$B$7=1,가정!$B$5,0)</f>
        <v>34258000</v>
      </c>
      <c r="J237" s="7" t="n">
        <f aca="false">MAX(0,I237)*가정!$B$6</f>
        <v>30832200</v>
      </c>
      <c r="K237" s="7" t="n">
        <f aca="false">가정!$B$5+J237</f>
        <v>34832200</v>
      </c>
      <c r="L237" s="7" t="n">
        <f aca="false">H237-K237</f>
        <v>3425800</v>
      </c>
      <c r="M237" s="8" t="n">
        <f aca="false">IF(B237=0,0,K237/B237)</f>
        <v>0.517719976218787</v>
      </c>
      <c r="N237" s="7" t="n">
        <f aca="false">K237/가정!$B$8</f>
        <v>174161</v>
      </c>
      <c r="O237" s="7" t="n">
        <f aca="false">IF(I237&gt;0,A237,"")</f>
        <v>232</v>
      </c>
      <c r="P237" s="7" t="n">
        <f aca="false">IF(L237&gt;=0,A237,"")</f>
        <v>232</v>
      </c>
      <c r="Q237" s="7" t="n">
        <f aca="false">IF(K237&gt;=가정!$B$32,A237,"")</f>
        <v>232</v>
      </c>
      <c r="R237" s="7" t="str">
        <f aca="false">IF(MAX(0,I237)*(1-가정!$B$6)*'1억 상환'!$B$6&gt;='1억 상환'!$B$5,A237,"")</f>
        <v/>
      </c>
    </row>
    <row r="238" customFormat="false" ht="15" hidden="false" customHeight="false" outlineLevel="0" collapsed="false">
      <c r="A238" s="7" t="n">
        <v>233</v>
      </c>
      <c r="B238" s="7" t="n">
        <f aca="false">A238*가정!$B$10</f>
        <v>67570000</v>
      </c>
      <c r="C238" s="7" t="n">
        <f aca="false">가정!$B$34</f>
        <v>3590000</v>
      </c>
      <c r="D238" s="7" t="n">
        <f aca="false">ROUNDUP(MAX(0,A238-가정!$B$18)/가정!$B$19,0)</f>
        <v>4</v>
      </c>
      <c r="E238" s="7" t="n">
        <f aca="false">D238*가정!$B$20+ROUNDUP(A238/가정!$B$22,0)*가정!$B$21+ROUNDUP(A238/가정!$B$24,0)*가정!$B$23</f>
        <v>25200000</v>
      </c>
      <c r="F238" s="7" t="n">
        <f aca="false">A238*가정!$B$26+B238*가정!$B$27</f>
        <v>233000</v>
      </c>
      <c r="G238" s="7" t="n">
        <f aca="false">B238*가정!$B$28</f>
        <v>0</v>
      </c>
      <c r="H238" s="7" t="n">
        <f aca="false">B238-C238-E238-F238-G238</f>
        <v>38547000</v>
      </c>
      <c r="I238" s="7" t="n">
        <f aca="false">H238-IF(가정!$B$7=1,가정!$B$5,0)</f>
        <v>34547000</v>
      </c>
      <c r="J238" s="7" t="n">
        <f aca="false">MAX(0,I238)*가정!$B$6</f>
        <v>31092300</v>
      </c>
      <c r="K238" s="7" t="n">
        <f aca="false">가정!$B$5+J238</f>
        <v>35092300</v>
      </c>
      <c r="L238" s="7" t="n">
        <f aca="false">H238-K238</f>
        <v>3454700</v>
      </c>
      <c r="M238" s="8" t="n">
        <f aca="false">IF(B238=0,0,K238/B238)</f>
        <v>0.519347343495634</v>
      </c>
      <c r="N238" s="7" t="n">
        <f aca="false">K238/가정!$B$8</f>
        <v>175461.5</v>
      </c>
      <c r="O238" s="7" t="n">
        <f aca="false">IF(I238&gt;0,A238,"")</f>
        <v>233</v>
      </c>
      <c r="P238" s="7" t="n">
        <f aca="false">IF(L238&gt;=0,A238,"")</f>
        <v>233</v>
      </c>
      <c r="Q238" s="7" t="n">
        <f aca="false">IF(K238&gt;=가정!$B$32,A238,"")</f>
        <v>233</v>
      </c>
      <c r="R238" s="7" t="str">
        <f aca="false">IF(MAX(0,I238)*(1-가정!$B$6)*'1억 상환'!$B$6&gt;='1억 상환'!$B$5,A238,"")</f>
        <v/>
      </c>
    </row>
    <row r="239" customFormat="false" ht="15" hidden="false" customHeight="false" outlineLevel="0" collapsed="false">
      <c r="A239" s="7" t="n">
        <v>234</v>
      </c>
      <c r="B239" s="7" t="n">
        <f aca="false">A239*가정!$B$10</f>
        <v>67860000</v>
      </c>
      <c r="C239" s="7" t="n">
        <f aca="false">가정!$B$34</f>
        <v>3590000</v>
      </c>
      <c r="D239" s="7" t="n">
        <f aca="false">ROUNDUP(MAX(0,A239-가정!$B$18)/가정!$B$19,0)</f>
        <v>4</v>
      </c>
      <c r="E239" s="7" t="n">
        <f aca="false">D239*가정!$B$20+ROUNDUP(A239/가정!$B$22,0)*가정!$B$21+ROUNDUP(A239/가정!$B$24,0)*가정!$B$23</f>
        <v>25200000</v>
      </c>
      <c r="F239" s="7" t="n">
        <f aca="false">A239*가정!$B$26+B239*가정!$B$27</f>
        <v>234000</v>
      </c>
      <c r="G239" s="7" t="n">
        <f aca="false">B239*가정!$B$28</f>
        <v>0</v>
      </c>
      <c r="H239" s="7" t="n">
        <f aca="false">B239-C239-E239-F239-G239</f>
        <v>38836000</v>
      </c>
      <c r="I239" s="7" t="n">
        <f aca="false">H239-IF(가정!$B$7=1,가정!$B$5,0)</f>
        <v>34836000</v>
      </c>
      <c r="J239" s="7" t="n">
        <f aca="false">MAX(0,I239)*가정!$B$6</f>
        <v>31352400</v>
      </c>
      <c r="K239" s="7" t="n">
        <f aca="false">가정!$B$5+J239</f>
        <v>35352400</v>
      </c>
      <c r="L239" s="7" t="n">
        <f aca="false">H239-K239</f>
        <v>3483600</v>
      </c>
      <c r="M239" s="8" t="n">
        <f aca="false">IF(B239=0,0,K239/B239)</f>
        <v>0.520960801650457</v>
      </c>
      <c r="N239" s="7" t="n">
        <f aca="false">K239/가정!$B$8</f>
        <v>176762</v>
      </c>
      <c r="O239" s="7" t="n">
        <f aca="false">IF(I239&gt;0,A239,"")</f>
        <v>234</v>
      </c>
      <c r="P239" s="7" t="n">
        <f aca="false">IF(L239&gt;=0,A239,"")</f>
        <v>234</v>
      </c>
      <c r="Q239" s="7" t="n">
        <f aca="false">IF(K239&gt;=가정!$B$32,A239,"")</f>
        <v>234</v>
      </c>
      <c r="R239" s="7" t="str">
        <f aca="false">IF(MAX(0,I239)*(1-가정!$B$6)*'1억 상환'!$B$6&gt;='1억 상환'!$B$5,A239,"")</f>
        <v/>
      </c>
    </row>
    <row r="240" customFormat="false" ht="15" hidden="false" customHeight="false" outlineLevel="0" collapsed="false">
      <c r="A240" s="7" t="n">
        <v>235</v>
      </c>
      <c r="B240" s="7" t="n">
        <f aca="false">A240*가정!$B$10</f>
        <v>68150000</v>
      </c>
      <c r="C240" s="7" t="n">
        <f aca="false">가정!$B$34</f>
        <v>3590000</v>
      </c>
      <c r="D240" s="7" t="n">
        <f aca="false">ROUNDUP(MAX(0,A240-가정!$B$18)/가정!$B$19,0)</f>
        <v>4</v>
      </c>
      <c r="E240" s="7" t="n">
        <f aca="false">D240*가정!$B$20+ROUNDUP(A240/가정!$B$22,0)*가정!$B$21+ROUNDUP(A240/가정!$B$24,0)*가정!$B$23</f>
        <v>25200000</v>
      </c>
      <c r="F240" s="7" t="n">
        <f aca="false">A240*가정!$B$26+B240*가정!$B$27</f>
        <v>235000</v>
      </c>
      <c r="G240" s="7" t="n">
        <f aca="false">B240*가정!$B$28</f>
        <v>0</v>
      </c>
      <c r="H240" s="7" t="n">
        <f aca="false">B240-C240-E240-F240-G240</f>
        <v>39125000</v>
      </c>
      <c r="I240" s="7" t="n">
        <f aca="false">H240-IF(가정!$B$7=1,가정!$B$5,0)</f>
        <v>35125000</v>
      </c>
      <c r="J240" s="7" t="n">
        <f aca="false">MAX(0,I240)*가정!$B$6</f>
        <v>31612500</v>
      </c>
      <c r="K240" s="7" t="n">
        <f aca="false">가정!$B$5+J240</f>
        <v>35612500</v>
      </c>
      <c r="L240" s="7" t="n">
        <f aca="false">H240-K240</f>
        <v>3512500</v>
      </c>
      <c r="M240" s="8" t="n">
        <f aca="false">IF(B240=0,0,K240/B240)</f>
        <v>0.522560528246515</v>
      </c>
      <c r="N240" s="7" t="n">
        <f aca="false">K240/가정!$B$8</f>
        <v>178062.5</v>
      </c>
      <c r="O240" s="7" t="n">
        <f aca="false">IF(I240&gt;0,A240,"")</f>
        <v>235</v>
      </c>
      <c r="P240" s="7" t="n">
        <f aca="false">IF(L240&gt;=0,A240,"")</f>
        <v>235</v>
      </c>
      <c r="Q240" s="7" t="n">
        <f aca="false">IF(K240&gt;=가정!$B$32,A240,"")</f>
        <v>235</v>
      </c>
      <c r="R240" s="7" t="str">
        <f aca="false">IF(MAX(0,I240)*(1-가정!$B$6)*'1억 상환'!$B$6&gt;='1억 상환'!$B$5,A240,"")</f>
        <v/>
      </c>
    </row>
    <row r="241" customFormat="false" ht="15" hidden="false" customHeight="false" outlineLevel="0" collapsed="false">
      <c r="A241" s="7" t="n">
        <v>236</v>
      </c>
      <c r="B241" s="7" t="n">
        <f aca="false">A241*가정!$B$10</f>
        <v>68440000</v>
      </c>
      <c r="C241" s="7" t="n">
        <f aca="false">가정!$B$34</f>
        <v>3590000</v>
      </c>
      <c r="D241" s="7" t="n">
        <f aca="false">ROUNDUP(MAX(0,A241-가정!$B$18)/가정!$B$19,0)</f>
        <v>4</v>
      </c>
      <c r="E241" s="7" t="n">
        <f aca="false">D241*가정!$B$20+ROUNDUP(A241/가정!$B$22,0)*가정!$B$21+ROUNDUP(A241/가정!$B$24,0)*가정!$B$23</f>
        <v>25200000</v>
      </c>
      <c r="F241" s="7" t="n">
        <f aca="false">A241*가정!$B$26+B241*가정!$B$27</f>
        <v>236000</v>
      </c>
      <c r="G241" s="7" t="n">
        <f aca="false">B241*가정!$B$28</f>
        <v>0</v>
      </c>
      <c r="H241" s="7" t="n">
        <f aca="false">B241-C241-E241-F241-G241</f>
        <v>39414000</v>
      </c>
      <c r="I241" s="7" t="n">
        <f aca="false">H241-IF(가정!$B$7=1,가정!$B$5,0)</f>
        <v>35414000</v>
      </c>
      <c r="J241" s="7" t="n">
        <f aca="false">MAX(0,I241)*가정!$B$6</f>
        <v>31872600</v>
      </c>
      <c r="K241" s="7" t="n">
        <f aca="false">가정!$B$5+J241</f>
        <v>35872600</v>
      </c>
      <c r="L241" s="7" t="n">
        <f aca="false">H241-K241</f>
        <v>3541400</v>
      </c>
      <c r="M241" s="8" t="n">
        <f aca="false">IF(B241=0,0,K241/B241)</f>
        <v>0.524146697837522</v>
      </c>
      <c r="N241" s="7" t="n">
        <f aca="false">K241/가정!$B$8</f>
        <v>179363</v>
      </c>
      <c r="O241" s="7" t="n">
        <f aca="false">IF(I241&gt;0,A241,"")</f>
        <v>236</v>
      </c>
      <c r="P241" s="7" t="n">
        <f aca="false">IF(L241&gt;=0,A241,"")</f>
        <v>236</v>
      </c>
      <c r="Q241" s="7" t="n">
        <f aca="false">IF(K241&gt;=가정!$B$32,A241,"")</f>
        <v>236</v>
      </c>
      <c r="R241" s="7" t="str">
        <f aca="false">IF(MAX(0,I241)*(1-가정!$B$6)*'1억 상환'!$B$6&gt;='1억 상환'!$B$5,A241,"")</f>
        <v/>
      </c>
    </row>
    <row r="242" customFormat="false" ht="15" hidden="false" customHeight="false" outlineLevel="0" collapsed="false">
      <c r="A242" s="7" t="n">
        <v>237</v>
      </c>
      <c r="B242" s="7" t="n">
        <f aca="false">A242*가정!$B$10</f>
        <v>68730000</v>
      </c>
      <c r="C242" s="7" t="n">
        <f aca="false">가정!$B$34</f>
        <v>3590000</v>
      </c>
      <c r="D242" s="7" t="n">
        <f aca="false">ROUNDUP(MAX(0,A242-가정!$B$18)/가정!$B$19,0)</f>
        <v>4</v>
      </c>
      <c r="E242" s="7" t="n">
        <f aca="false">D242*가정!$B$20+ROUNDUP(A242/가정!$B$22,0)*가정!$B$21+ROUNDUP(A242/가정!$B$24,0)*가정!$B$23</f>
        <v>25200000</v>
      </c>
      <c r="F242" s="7" t="n">
        <f aca="false">A242*가정!$B$26+B242*가정!$B$27</f>
        <v>237000</v>
      </c>
      <c r="G242" s="7" t="n">
        <f aca="false">B242*가정!$B$28</f>
        <v>0</v>
      </c>
      <c r="H242" s="7" t="n">
        <f aca="false">B242-C242-E242-F242-G242</f>
        <v>39703000</v>
      </c>
      <c r="I242" s="7" t="n">
        <f aca="false">H242-IF(가정!$B$7=1,가정!$B$5,0)</f>
        <v>35703000</v>
      </c>
      <c r="J242" s="7" t="n">
        <f aca="false">MAX(0,I242)*가정!$B$6</f>
        <v>32132700</v>
      </c>
      <c r="K242" s="7" t="n">
        <f aca="false">가정!$B$5+J242</f>
        <v>36132700</v>
      </c>
      <c r="L242" s="7" t="n">
        <f aca="false">H242-K242</f>
        <v>3570300</v>
      </c>
      <c r="M242" s="8" t="n">
        <f aca="false">IF(B242=0,0,K242/B242)</f>
        <v>0.525719482031136</v>
      </c>
      <c r="N242" s="7" t="n">
        <f aca="false">K242/가정!$B$8</f>
        <v>180663.5</v>
      </c>
      <c r="O242" s="7" t="n">
        <f aca="false">IF(I242&gt;0,A242,"")</f>
        <v>237</v>
      </c>
      <c r="P242" s="7" t="n">
        <f aca="false">IF(L242&gt;=0,A242,"")</f>
        <v>237</v>
      </c>
      <c r="Q242" s="7" t="n">
        <f aca="false">IF(K242&gt;=가정!$B$32,A242,"")</f>
        <v>237</v>
      </c>
      <c r="R242" s="7" t="str">
        <f aca="false">IF(MAX(0,I242)*(1-가정!$B$6)*'1억 상환'!$B$6&gt;='1억 상환'!$B$5,A242,"")</f>
        <v/>
      </c>
    </row>
    <row r="243" customFormat="false" ht="15" hidden="false" customHeight="false" outlineLevel="0" collapsed="false">
      <c r="A243" s="7" t="n">
        <v>238</v>
      </c>
      <c r="B243" s="7" t="n">
        <f aca="false">A243*가정!$B$10</f>
        <v>69020000</v>
      </c>
      <c r="C243" s="7" t="n">
        <f aca="false">가정!$B$34</f>
        <v>3590000</v>
      </c>
      <c r="D243" s="7" t="n">
        <f aca="false">ROUNDUP(MAX(0,A243-가정!$B$18)/가정!$B$19,0)</f>
        <v>4</v>
      </c>
      <c r="E243" s="7" t="n">
        <f aca="false">D243*가정!$B$20+ROUNDUP(A243/가정!$B$22,0)*가정!$B$21+ROUNDUP(A243/가정!$B$24,0)*가정!$B$23</f>
        <v>25200000</v>
      </c>
      <c r="F243" s="7" t="n">
        <f aca="false">A243*가정!$B$26+B243*가정!$B$27</f>
        <v>238000</v>
      </c>
      <c r="G243" s="7" t="n">
        <f aca="false">B243*가정!$B$28</f>
        <v>0</v>
      </c>
      <c r="H243" s="7" t="n">
        <f aca="false">B243-C243-E243-F243-G243</f>
        <v>39992000</v>
      </c>
      <c r="I243" s="7" t="n">
        <f aca="false">H243-IF(가정!$B$7=1,가정!$B$5,0)</f>
        <v>35992000</v>
      </c>
      <c r="J243" s="7" t="n">
        <f aca="false">MAX(0,I243)*가정!$B$6</f>
        <v>32392800</v>
      </c>
      <c r="K243" s="7" t="n">
        <f aca="false">가정!$B$5+J243</f>
        <v>36392800</v>
      </c>
      <c r="L243" s="7" t="n">
        <f aca="false">H243-K243</f>
        <v>3599200</v>
      </c>
      <c r="M243" s="8" t="n">
        <f aca="false">IF(B243=0,0,K243/B243)</f>
        <v>0.527279049550855</v>
      </c>
      <c r="N243" s="7" t="n">
        <f aca="false">K243/가정!$B$8</f>
        <v>181964</v>
      </c>
      <c r="O243" s="7" t="n">
        <f aca="false">IF(I243&gt;0,A243,"")</f>
        <v>238</v>
      </c>
      <c r="P243" s="7" t="n">
        <f aca="false">IF(L243&gt;=0,A243,"")</f>
        <v>238</v>
      </c>
      <c r="Q243" s="7" t="n">
        <f aca="false">IF(K243&gt;=가정!$B$32,A243,"")</f>
        <v>238</v>
      </c>
      <c r="R243" s="7" t="str">
        <f aca="false">IF(MAX(0,I243)*(1-가정!$B$6)*'1억 상환'!$B$6&gt;='1억 상환'!$B$5,A243,"")</f>
        <v/>
      </c>
    </row>
    <row r="244" customFormat="false" ht="15" hidden="false" customHeight="false" outlineLevel="0" collapsed="false">
      <c r="A244" s="7" t="n">
        <v>239</v>
      </c>
      <c r="B244" s="7" t="n">
        <f aca="false">A244*가정!$B$10</f>
        <v>69310000</v>
      </c>
      <c r="C244" s="7" t="n">
        <f aca="false">가정!$B$34</f>
        <v>3590000</v>
      </c>
      <c r="D244" s="7" t="n">
        <f aca="false">ROUNDUP(MAX(0,A244-가정!$B$18)/가정!$B$19,0)</f>
        <v>4</v>
      </c>
      <c r="E244" s="7" t="n">
        <f aca="false">D244*가정!$B$20+ROUNDUP(A244/가정!$B$22,0)*가정!$B$21+ROUNDUP(A244/가정!$B$24,0)*가정!$B$23</f>
        <v>25200000</v>
      </c>
      <c r="F244" s="7" t="n">
        <f aca="false">A244*가정!$B$26+B244*가정!$B$27</f>
        <v>239000</v>
      </c>
      <c r="G244" s="7" t="n">
        <f aca="false">B244*가정!$B$28</f>
        <v>0</v>
      </c>
      <c r="H244" s="7" t="n">
        <f aca="false">B244-C244-E244-F244-G244</f>
        <v>40281000</v>
      </c>
      <c r="I244" s="7" t="n">
        <f aca="false">H244-IF(가정!$B$7=1,가정!$B$5,0)</f>
        <v>36281000</v>
      </c>
      <c r="J244" s="7" t="n">
        <f aca="false">MAX(0,I244)*가정!$B$6</f>
        <v>32652900</v>
      </c>
      <c r="K244" s="7" t="n">
        <f aca="false">가정!$B$5+J244</f>
        <v>36652900</v>
      </c>
      <c r="L244" s="7" t="n">
        <f aca="false">H244-K244</f>
        <v>3628100</v>
      </c>
      <c r="M244" s="8" t="n">
        <f aca="false">IF(B244=0,0,K244/B244)</f>
        <v>0.52882556629635</v>
      </c>
      <c r="N244" s="7" t="n">
        <f aca="false">K244/가정!$B$8</f>
        <v>183264.5</v>
      </c>
      <c r="O244" s="7" t="n">
        <f aca="false">IF(I244&gt;0,A244,"")</f>
        <v>239</v>
      </c>
      <c r="P244" s="7" t="n">
        <f aca="false">IF(L244&gt;=0,A244,"")</f>
        <v>239</v>
      </c>
      <c r="Q244" s="7" t="n">
        <f aca="false">IF(K244&gt;=가정!$B$32,A244,"")</f>
        <v>239</v>
      </c>
      <c r="R244" s="7" t="str">
        <f aca="false">IF(MAX(0,I244)*(1-가정!$B$6)*'1억 상환'!$B$6&gt;='1억 상환'!$B$5,A244,"")</f>
        <v/>
      </c>
    </row>
    <row r="245" customFormat="false" ht="15" hidden="false" customHeight="false" outlineLevel="0" collapsed="false">
      <c r="A245" s="7" t="n">
        <v>240</v>
      </c>
      <c r="B245" s="7" t="n">
        <f aca="false">A245*가정!$B$10</f>
        <v>69600000</v>
      </c>
      <c r="C245" s="7" t="n">
        <f aca="false">가정!$B$34</f>
        <v>3590000</v>
      </c>
      <c r="D245" s="7" t="n">
        <f aca="false">ROUNDUP(MAX(0,A245-가정!$B$18)/가정!$B$19,0)</f>
        <v>4</v>
      </c>
      <c r="E245" s="7" t="n">
        <f aca="false">D245*가정!$B$20+ROUNDUP(A245/가정!$B$22,0)*가정!$B$21+ROUNDUP(A245/가정!$B$24,0)*가정!$B$23</f>
        <v>25200000</v>
      </c>
      <c r="F245" s="7" t="n">
        <f aca="false">A245*가정!$B$26+B245*가정!$B$27</f>
        <v>240000</v>
      </c>
      <c r="G245" s="7" t="n">
        <f aca="false">B245*가정!$B$28</f>
        <v>0</v>
      </c>
      <c r="H245" s="7" t="n">
        <f aca="false">B245-C245-E245-F245-G245</f>
        <v>40570000</v>
      </c>
      <c r="I245" s="7" t="n">
        <f aca="false">H245-IF(가정!$B$7=1,가정!$B$5,0)</f>
        <v>36570000</v>
      </c>
      <c r="J245" s="7" t="n">
        <f aca="false">MAX(0,I245)*가정!$B$6</f>
        <v>32913000</v>
      </c>
      <c r="K245" s="7" t="n">
        <f aca="false">가정!$B$5+J245</f>
        <v>36913000</v>
      </c>
      <c r="L245" s="7" t="n">
        <f aca="false">H245-K245</f>
        <v>3657000</v>
      </c>
      <c r="M245" s="8" t="n">
        <f aca="false">IF(B245=0,0,K245/B245)</f>
        <v>0.530359195402299</v>
      </c>
      <c r="N245" s="7" t="n">
        <f aca="false">K245/가정!$B$8</f>
        <v>184565</v>
      </c>
      <c r="O245" s="7" t="n">
        <f aca="false">IF(I245&gt;0,A245,"")</f>
        <v>240</v>
      </c>
      <c r="P245" s="7" t="n">
        <f aca="false">IF(L245&gt;=0,A245,"")</f>
        <v>240</v>
      </c>
      <c r="Q245" s="7" t="n">
        <f aca="false">IF(K245&gt;=가정!$B$32,A245,"")</f>
        <v>240</v>
      </c>
      <c r="R245" s="7" t="str">
        <f aca="false">IF(MAX(0,I245)*(1-가정!$B$6)*'1억 상환'!$B$6&gt;='1억 상환'!$B$5,A245,"")</f>
        <v/>
      </c>
    </row>
    <row r="246" customFormat="false" ht="15" hidden="false" customHeight="false" outlineLevel="0" collapsed="false">
      <c r="A246" s="7" t="n">
        <v>241</v>
      </c>
      <c r="B246" s="7" t="n">
        <f aca="false">A246*가정!$B$10</f>
        <v>69890000</v>
      </c>
      <c r="C246" s="7" t="n">
        <f aca="false">가정!$B$34</f>
        <v>3590000</v>
      </c>
      <c r="D246" s="7" t="n">
        <f aca="false">ROUNDUP(MAX(0,A246-가정!$B$18)/가정!$B$19,0)</f>
        <v>5</v>
      </c>
      <c r="E246" s="7" t="n">
        <f aca="false">D246*가정!$B$20+ROUNDUP(A246/가정!$B$22,0)*가정!$B$21+ROUNDUP(A246/가정!$B$24,0)*가정!$B$23</f>
        <v>29700000</v>
      </c>
      <c r="F246" s="7" t="n">
        <f aca="false">A246*가정!$B$26+B246*가정!$B$27</f>
        <v>241000</v>
      </c>
      <c r="G246" s="7" t="n">
        <f aca="false">B246*가정!$B$28</f>
        <v>0</v>
      </c>
      <c r="H246" s="7" t="n">
        <f aca="false">B246-C246-E246-F246-G246</f>
        <v>36359000</v>
      </c>
      <c r="I246" s="7" t="n">
        <f aca="false">H246-IF(가정!$B$7=1,가정!$B$5,0)</f>
        <v>32359000</v>
      </c>
      <c r="J246" s="7" t="n">
        <f aca="false">MAX(0,I246)*가정!$B$6</f>
        <v>29123100</v>
      </c>
      <c r="K246" s="7" t="n">
        <f aca="false">가정!$B$5+J246</f>
        <v>33123100</v>
      </c>
      <c r="L246" s="7" t="n">
        <f aca="false">H246-K246</f>
        <v>3235900</v>
      </c>
      <c r="M246" s="8" t="n">
        <f aca="false">IF(B246=0,0,K246/B246)</f>
        <v>0.473931892974675</v>
      </c>
      <c r="N246" s="7" t="n">
        <f aca="false">K246/가정!$B$8</f>
        <v>165615.5</v>
      </c>
      <c r="O246" s="7" t="n">
        <f aca="false">IF(I246&gt;0,A246,"")</f>
        <v>241</v>
      </c>
      <c r="P246" s="7" t="n">
        <f aca="false">IF(L246&gt;=0,A246,"")</f>
        <v>241</v>
      </c>
      <c r="Q246" s="7" t="n">
        <f aca="false">IF(K246&gt;=가정!$B$32,A246,"")</f>
        <v>241</v>
      </c>
      <c r="R246" s="7" t="str">
        <f aca="false">IF(MAX(0,I246)*(1-가정!$B$6)*'1억 상환'!$B$6&gt;='1억 상환'!$B$5,A246,"")</f>
        <v/>
      </c>
    </row>
    <row r="247" customFormat="false" ht="15" hidden="false" customHeight="false" outlineLevel="0" collapsed="false">
      <c r="A247" s="7" t="n">
        <v>242</v>
      </c>
      <c r="B247" s="7" t="n">
        <f aca="false">A247*가정!$B$10</f>
        <v>70180000</v>
      </c>
      <c r="C247" s="7" t="n">
        <f aca="false">가정!$B$34</f>
        <v>3590000</v>
      </c>
      <c r="D247" s="7" t="n">
        <f aca="false">ROUNDUP(MAX(0,A247-가정!$B$18)/가정!$B$19,0)</f>
        <v>5</v>
      </c>
      <c r="E247" s="7" t="n">
        <f aca="false">D247*가정!$B$20+ROUNDUP(A247/가정!$B$22,0)*가정!$B$21+ROUNDUP(A247/가정!$B$24,0)*가정!$B$23</f>
        <v>29700000</v>
      </c>
      <c r="F247" s="7" t="n">
        <f aca="false">A247*가정!$B$26+B247*가정!$B$27</f>
        <v>242000</v>
      </c>
      <c r="G247" s="7" t="n">
        <f aca="false">B247*가정!$B$28</f>
        <v>0</v>
      </c>
      <c r="H247" s="7" t="n">
        <f aca="false">B247-C247-E247-F247-G247</f>
        <v>36648000</v>
      </c>
      <c r="I247" s="7" t="n">
        <f aca="false">H247-IF(가정!$B$7=1,가정!$B$5,0)</f>
        <v>32648000</v>
      </c>
      <c r="J247" s="7" t="n">
        <f aca="false">MAX(0,I247)*가정!$B$6</f>
        <v>29383200</v>
      </c>
      <c r="K247" s="7" t="n">
        <f aca="false">가정!$B$5+J247</f>
        <v>33383200</v>
      </c>
      <c r="L247" s="7" t="n">
        <f aca="false">H247-K247</f>
        <v>3264800</v>
      </c>
      <c r="M247" s="8" t="n">
        <f aca="false">IF(B247=0,0,K247/B247)</f>
        <v>0.475679680820747</v>
      </c>
      <c r="N247" s="7" t="n">
        <f aca="false">K247/가정!$B$8</f>
        <v>166916</v>
      </c>
      <c r="O247" s="7" t="n">
        <f aca="false">IF(I247&gt;0,A247,"")</f>
        <v>242</v>
      </c>
      <c r="P247" s="7" t="n">
        <f aca="false">IF(L247&gt;=0,A247,"")</f>
        <v>242</v>
      </c>
      <c r="Q247" s="7" t="n">
        <f aca="false">IF(K247&gt;=가정!$B$32,A247,"")</f>
        <v>242</v>
      </c>
      <c r="R247" s="7" t="str">
        <f aca="false">IF(MAX(0,I247)*(1-가정!$B$6)*'1억 상환'!$B$6&gt;='1억 상환'!$B$5,A247,"")</f>
        <v/>
      </c>
    </row>
    <row r="248" customFormat="false" ht="15" hidden="false" customHeight="false" outlineLevel="0" collapsed="false">
      <c r="A248" s="7" t="n">
        <v>243</v>
      </c>
      <c r="B248" s="7" t="n">
        <f aca="false">A248*가정!$B$10</f>
        <v>70470000</v>
      </c>
      <c r="C248" s="7" t="n">
        <f aca="false">가정!$B$34</f>
        <v>3590000</v>
      </c>
      <c r="D248" s="7" t="n">
        <f aca="false">ROUNDUP(MAX(0,A248-가정!$B$18)/가정!$B$19,0)</f>
        <v>5</v>
      </c>
      <c r="E248" s="7" t="n">
        <f aca="false">D248*가정!$B$20+ROUNDUP(A248/가정!$B$22,0)*가정!$B$21+ROUNDUP(A248/가정!$B$24,0)*가정!$B$23</f>
        <v>29700000</v>
      </c>
      <c r="F248" s="7" t="n">
        <f aca="false">A248*가정!$B$26+B248*가정!$B$27</f>
        <v>243000</v>
      </c>
      <c r="G248" s="7" t="n">
        <f aca="false">B248*가정!$B$28</f>
        <v>0</v>
      </c>
      <c r="H248" s="7" t="n">
        <f aca="false">B248-C248-E248-F248-G248</f>
        <v>36937000</v>
      </c>
      <c r="I248" s="7" t="n">
        <f aca="false">H248-IF(가정!$B$7=1,가정!$B$5,0)</f>
        <v>32937000</v>
      </c>
      <c r="J248" s="7" t="n">
        <f aca="false">MAX(0,I248)*가정!$B$6</f>
        <v>29643300</v>
      </c>
      <c r="K248" s="7" t="n">
        <f aca="false">가정!$B$5+J248</f>
        <v>33643300</v>
      </c>
      <c r="L248" s="7" t="n">
        <f aca="false">H248-K248</f>
        <v>3293700</v>
      </c>
      <c r="M248" s="8" t="n">
        <f aca="false">IF(B248=0,0,K248/B248)</f>
        <v>0.477413083581666</v>
      </c>
      <c r="N248" s="7" t="n">
        <f aca="false">K248/가정!$B$8</f>
        <v>168216.5</v>
      </c>
      <c r="O248" s="7" t="n">
        <f aca="false">IF(I248&gt;0,A248,"")</f>
        <v>243</v>
      </c>
      <c r="P248" s="7" t="n">
        <f aca="false">IF(L248&gt;=0,A248,"")</f>
        <v>243</v>
      </c>
      <c r="Q248" s="7" t="n">
        <f aca="false">IF(K248&gt;=가정!$B$32,A248,"")</f>
        <v>243</v>
      </c>
      <c r="R248" s="7" t="str">
        <f aca="false">IF(MAX(0,I248)*(1-가정!$B$6)*'1억 상환'!$B$6&gt;='1억 상환'!$B$5,A248,"")</f>
        <v/>
      </c>
    </row>
    <row r="249" customFormat="false" ht="15" hidden="false" customHeight="false" outlineLevel="0" collapsed="false">
      <c r="A249" s="7" t="n">
        <v>244</v>
      </c>
      <c r="B249" s="7" t="n">
        <f aca="false">A249*가정!$B$10</f>
        <v>70760000</v>
      </c>
      <c r="C249" s="7" t="n">
        <f aca="false">가정!$B$34</f>
        <v>3590000</v>
      </c>
      <c r="D249" s="7" t="n">
        <f aca="false">ROUNDUP(MAX(0,A249-가정!$B$18)/가정!$B$19,0)</f>
        <v>5</v>
      </c>
      <c r="E249" s="7" t="n">
        <f aca="false">D249*가정!$B$20+ROUNDUP(A249/가정!$B$22,0)*가정!$B$21+ROUNDUP(A249/가정!$B$24,0)*가정!$B$23</f>
        <v>29700000</v>
      </c>
      <c r="F249" s="7" t="n">
        <f aca="false">A249*가정!$B$26+B249*가정!$B$27</f>
        <v>244000</v>
      </c>
      <c r="G249" s="7" t="n">
        <f aca="false">B249*가정!$B$28</f>
        <v>0</v>
      </c>
      <c r="H249" s="7" t="n">
        <f aca="false">B249-C249-E249-F249-G249</f>
        <v>37226000</v>
      </c>
      <c r="I249" s="7" t="n">
        <f aca="false">H249-IF(가정!$B$7=1,가정!$B$5,0)</f>
        <v>33226000</v>
      </c>
      <c r="J249" s="7" t="n">
        <f aca="false">MAX(0,I249)*가정!$B$6</f>
        <v>29903400</v>
      </c>
      <c r="K249" s="7" t="n">
        <f aca="false">가정!$B$5+J249</f>
        <v>33903400</v>
      </c>
      <c r="L249" s="7" t="n">
        <f aca="false">H249-K249</f>
        <v>3322600</v>
      </c>
      <c r="M249" s="8" t="n">
        <f aca="false">IF(B249=0,0,K249/B249)</f>
        <v>0.479132278123233</v>
      </c>
      <c r="N249" s="7" t="n">
        <f aca="false">K249/가정!$B$8</f>
        <v>169517</v>
      </c>
      <c r="O249" s="7" t="n">
        <f aca="false">IF(I249&gt;0,A249,"")</f>
        <v>244</v>
      </c>
      <c r="P249" s="7" t="n">
        <f aca="false">IF(L249&gt;=0,A249,"")</f>
        <v>244</v>
      </c>
      <c r="Q249" s="7" t="n">
        <f aca="false">IF(K249&gt;=가정!$B$32,A249,"")</f>
        <v>244</v>
      </c>
      <c r="R249" s="7" t="str">
        <f aca="false">IF(MAX(0,I249)*(1-가정!$B$6)*'1억 상환'!$B$6&gt;='1억 상환'!$B$5,A249,"")</f>
        <v/>
      </c>
    </row>
    <row r="250" customFormat="false" ht="15" hidden="false" customHeight="false" outlineLevel="0" collapsed="false">
      <c r="A250" s="7" t="n">
        <v>245</v>
      </c>
      <c r="B250" s="7" t="n">
        <f aca="false">A250*가정!$B$10</f>
        <v>71050000</v>
      </c>
      <c r="C250" s="7" t="n">
        <f aca="false">가정!$B$34</f>
        <v>3590000</v>
      </c>
      <c r="D250" s="7" t="n">
        <f aca="false">ROUNDUP(MAX(0,A250-가정!$B$18)/가정!$B$19,0)</f>
        <v>5</v>
      </c>
      <c r="E250" s="7" t="n">
        <f aca="false">D250*가정!$B$20+ROUNDUP(A250/가정!$B$22,0)*가정!$B$21+ROUNDUP(A250/가정!$B$24,0)*가정!$B$23</f>
        <v>29700000</v>
      </c>
      <c r="F250" s="7" t="n">
        <f aca="false">A250*가정!$B$26+B250*가정!$B$27</f>
        <v>245000</v>
      </c>
      <c r="G250" s="7" t="n">
        <f aca="false">B250*가정!$B$28</f>
        <v>0</v>
      </c>
      <c r="H250" s="7" t="n">
        <f aca="false">B250-C250-E250-F250-G250</f>
        <v>37515000</v>
      </c>
      <c r="I250" s="7" t="n">
        <f aca="false">H250-IF(가정!$B$7=1,가정!$B$5,0)</f>
        <v>33515000</v>
      </c>
      <c r="J250" s="7" t="n">
        <f aca="false">MAX(0,I250)*가정!$B$6</f>
        <v>30163500</v>
      </c>
      <c r="K250" s="7" t="n">
        <f aca="false">가정!$B$5+J250</f>
        <v>34163500</v>
      </c>
      <c r="L250" s="7" t="n">
        <f aca="false">H250-K250</f>
        <v>3351500</v>
      </c>
      <c r="M250" s="8" t="n">
        <f aca="false">IF(B250=0,0,K250/B250)</f>
        <v>0.480837438423645</v>
      </c>
      <c r="N250" s="7" t="n">
        <f aca="false">K250/가정!$B$8</f>
        <v>170817.5</v>
      </c>
      <c r="O250" s="7" t="n">
        <f aca="false">IF(I250&gt;0,A250,"")</f>
        <v>245</v>
      </c>
      <c r="P250" s="7" t="n">
        <f aca="false">IF(L250&gt;=0,A250,"")</f>
        <v>245</v>
      </c>
      <c r="Q250" s="7" t="n">
        <f aca="false">IF(K250&gt;=가정!$B$32,A250,"")</f>
        <v>245</v>
      </c>
      <c r="R250" s="7" t="str">
        <f aca="false">IF(MAX(0,I250)*(1-가정!$B$6)*'1억 상환'!$B$6&gt;='1억 상환'!$B$5,A250,"")</f>
        <v/>
      </c>
    </row>
    <row r="251" customFormat="false" ht="15" hidden="false" customHeight="false" outlineLevel="0" collapsed="false">
      <c r="A251" s="7" t="n">
        <v>246</v>
      </c>
      <c r="B251" s="7" t="n">
        <f aca="false">A251*가정!$B$10</f>
        <v>71340000</v>
      </c>
      <c r="C251" s="7" t="n">
        <f aca="false">가정!$B$34</f>
        <v>3590000</v>
      </c>
      <c r="D251" s="7" t="n">
        <f aca="false">ROUNDUP(MAX(0,A251-가정!$B$18)/가정!$B$19,0)</f>
        <v>5</v>
      </c>
      <c r="E251" s="7" t="n">
        <f aca="false">D251*가정!$B$20+ROUNDUP(A251/가정!$B$22,0)*가정!$B$21+ROUNDUP(A251/가정!$B$24,0)*가정!$B$23</f>
        <v>29700000</v>
      </c>
      <c r="F251" s="7" t="n">
        <f aca="false">A251*가정!$B$26+B251*가정!$B$27</f>
        <v>246000</v>
      </c>
      <c r="G251" s="7" t="n">
        <f aca="false">B251*가정!$B$28</f>
        <v>0</v>
      </c>
      <c r="H251" s="7" t="n">
        <f aca="false">B251-C251-E251-F251-G251</f>
        <v>37804000</v>
      </c>
      <c r="I251" s="7" t="n">
        <f aca="false">H251-IF(가정!$B$7=1,가정!$B$5,0)</f>
        <v>33804000</v>
      </c>
      <c r="J251" s="7" t="n">
        <f aca="false">MAX(0,I251)*가정!$B$6</f>
        <v>30423600</v>
      </c>
      <c r="K251" s="7" t="n">
        <f aca="false">가정!$B$5+J251</f>
        <v>34423600</v>
      </c>
      <c r="L251" s="7" t="n">
        <f aca="false">H251-K251</f>
        <v>3380400</v>
      </c>
      <c r="M251" s="8" t="n">
        <f aca="false">IF(B251=0,0,K251/B251)</f>
        <v>0.482528735632184</v>
      </c>
      <c r="N251" s="7" t="n">
        <f aca="false">K251/가정!$B$8</f>
        <v>172118</v>
      </c>
      <c r="O251" s="7" t="n">
        <f aca="false">IF(I251&gt;0,A251,"")</f>
        <v>246</v>
      </c>
      <c r="P251" s="7" t="n">
        <f aca="false">IF(L251&gt;=0,A251,"")</f>
        <v>246</v>
      </c>
      <c r="Q251" s="7" t="n">
        <f aca="false">IF(K251&gt;=가정!$B$32,A251,"")</f>
        <v>246</v>
      </c>
      <c r="R251" s="7" t="str">
        <f aca="false">IF(MAX(0,I251)*(1-가정!$B$6)*'1억 상환'!$B$6&gt;='1억 상환'!$B$5,A251,"")</f>
        <v/>
      </c>
    </row>
    <row r="252" customFormat="false" ht="15" hidden="false" customHeight="false" outlineLevel="0" collapsed="false">
      <c r="A252" s="7" t="n">
        <v>247</v>
      </c>
      <c r="B252" s="7" t="n">
        <f aca="false">A252*가정!$B$10</f>
        <v>71630000</v>
      </c>
      <c r="C252" s="7" t="n">
        <f aca="false">가정!$B$34</f>
        <v>3590000</v>
      </c>
      <c r="D252" s="7" t="n">
        <f aca="false">ROUNDUP(MAX(0,A252-가정!$B$18)/가정!$B$19,0)</f>
        <v>5</v>
      </c>
      <c r="E252" s="7" t="n">
        <f aca="false">D252*가정!$B$20+ROUNDUP(A252/가정!$B$22,0)*가정!$B$21+ROUNDUP(A252/가정!$B$24,0)*가정!$B$23</f>
        <v>29700000</v>
      </c>
      <c r="F252" s="7" t="n">
        <f aca="false">A252*가정!$B$26+B252*가정!$B$27</f>
        <v>247000</v>
      </c>
      <c r="G252" s="7" t="n">
        <f aca="false">B252*가정!$B$28</f>
        <v>0</v>
      </c>
      <c r="H252" s="7" t="n">
        <f aca="false">B252-C252-E252-F252-G252</f>
        <v>38093000</v>
      </c>
      <c r="I252" s="7" t="n">
        <f aca="false">H252-IF(가정!$B$7=1,가정!$B$5,0)</f>
        <v>34093000</v>
      </c>
      <c r="J252" s="7" t="n">
        <f aca="false">MAX(0,I252)*가정!$B$6</f>
        <v>30683700</v>
      </c>
      <c r="K252" s="7" t="n">
        <f aca="false">가정!$B$5+J252</f>
        <v>34683700</v>
      </c>
      <c r="L252" s="7" t="n">
        <f aca="false">H252-K252</f>
        <v>3409300</v>
      </c>
      <c r="M252" s="8" t="n">
        <f aca="false">IF(B252=0,0,K252/B252)</f>
        <v>0.484206338126483</v>
      </c>
      <c r="N252" s="7" t="n">
        <f aca="false">K252/가정!$B$8</f>
        <v>173418.5</v>
      </c>
      <c r="O252" s="7" t="n">
        <f aca="false">IF(I252&gt;0,A252,"")</f>
        <v>247</v>
      </c>
      <c r="P252" s="7" t="n">
        <f aca="false">IF(L252&gt;=0,A252,"")</f>
        <v>247</v>
      </c>
      <c r="Q252" s="7" t="n">
        <f aca="false">IF(K252&gt;=가정!$B$32,A252,"")</f>
        <v>247</v>
      </c>
      <c r="R252" s="7" t="str">
        <f aca="false">IF(MAX(0,I252)*(1-가정!$B$6)*'1억 상환'!$B$6&gt;='1억 상환'!$B$5,A252,"")</f>
        <v/>
      </c>
    </row>
    <row r="253" customFormat="false" ht="15" hidden="false" customHeight="false" outlineLevel="0" collapsed="false">
      <c r="A253" s="7" t="n">
        <v>248</v>
      </c>
      <c r="B253" s="7" t="n">
        <f aca="false">A253*가정!$B$10</f>
        <v>71920000</v>
      </c>
      <c r="C253" s="7" t="n">
        <f aca="false">가정!$B$34</f>
        <v>3590000</v>
      </c>
      <c r="D253" s="7" t="n">
        <f aca="false">ROUNDUP(MAX(0,A253-가정!$B$18)/가정!$B$19,0)</f>
        <v>5</v>
      </c>
      <c r="E253" s="7" t="n">
        <f aca="false">D253*가정!$B$20+ROUNDUP(A253/가정!$B$22,0)*가정!$B$21+ROUNDUP(A253/가정!$B$24,0)*가정!$B$23</f>
        <v>29700000</v>
      </c>
      <c r="F253" s="7" t="n">
        <f aca="false">A253*가정!$B$26+B253*가정!$B$27</f>
        <v>248000</v>
      </c>
      <c r="G253" s="7" t="n">
        <f aca="false">B253*가정!$B$28</f>
        <v>0</v>
      </c>
      <c r="H253" s="7" t="n">
        <f aca="false">B253-C253-E253-F253-G253</f>
        <v>38382000</v>
      </c>
      <c r="I253" s="7" t="n">
        <f aca="false">H253-IF(가정!$B$7=1,가정!$B$5,0)</f>
        <v>34382000</v>
      </c>
      <c r="J253" s="7" t="n">
        <f aca="false">MAX(0,I253)*가정!$B$6</f>
        <v>30943800</v>
      </c>
      <c r="K253" s="7" t="n">
        <f aca="false">가정!$B$5+J253</f>
        <v>34943800</v>
      </c>
      <c r="L253" s="7" t="n">
        <f aca="false">H253-K253</f>
        <v>3438200</v>
      </c>
      <c r="M253" s="8" t="n">
        <f aca="false">IF(B253=0,0,K253/B253)</f>
        <v>0.485870411568409</v>
      </c>
      <c r="N253" s="7" t="n">
        <f aca="false">K253/가정!$B$8</f>
        <v>174719</v>
      </c>
      <c r="O253" s="7" t="n">
        <f aca="false">IF(I253&gt;0,A253,"")</f>
        <v>248</v>
      </c>
      <c r="P253" s="7" t="n">
        <f aca="false">IF(L253&gt;=0,A253,"")</f>
        <v>248</v>
      </c>
      <c r="Q253" s="7" t="n">
        <f aca="false">IF(K253&gt;=가정!$B$32,A253,"")</f>
        <v>248</v>
      </c>
      <c r="R253" s="7" t="str">
        <f aca="false">IF(MAX(0,I253)*(1-가정!$B$6)*'1억 상환'!$B$6&gt;='1억 상환'!$B$5,A253,"")</f>
        <v/>
      </c>
    </row>
    <row r="254" customFormat="false" ht="15" hidden="false" customHeight="false" outlineLevel="0" collapsed="false">
      <c r="A254" s="7" t="n">
        <v>249</v>
      </c>
      <c r="B254" s="7" t="n">
        <f aca="false">A254*가정!$B$10</f>
        <v>72210000</v>
      </c>
      <c r="C254" s="7" t="n">
        <f aca="false">가정!$B$34</f>
        <v>3590000</v>
      </c>
      <c r="D254" s="7" t="n">
        <f aca="false">ROUNDUP(MAX(0,A254-가정!$B$18)/가정!$B$19,0)</f>
        <v>5</v>
      </c>
      <c r="E254" s="7" t="n">
        <f aca="false">D254*가정!$B$20+ROUNDUP(A254/가정!$B$22,0)*가정!$B$21+ROUNDUP(A254/가정!$B$24,0)*가정!$B$23</f>
        <v>29700000</v>
      </c>
      <c r="F254" s="7" t="n">
        <f aca="false">A254*가정!$B$26+B254*가정!$B$27</f>
        <v>249000</v>
      </c>
      <c r="G254" s="7" t="n">
        <f aca="false">B254*가정!$B$28</f>
        <v>0</v>
      </c>
      <c r="H254" s="7" t="n">
        <f aca="false">B254-C254-E254-F254-G254</f>
        <v>38671000</v>
      </c>
      <c r="I254" s="7" t="n">
        <f aca="false">H254-IF(가정!$B$7=1,가정!$B$5,0)</f>
        <v>34671000</v>
      </c>
      <c r="J254" s="7" t="n">
        <f aca="false">MAX(0,I254)*가정!$B$6</f>
        <v>31203900</v>
      </c>
      <c r="K254" s="7" t="n">
        <f aca="false">가정!$B$5+J254</f>
        <v>35203900</v>
      </c>
      <c r="L254" s="7" t="n">
        <f aca="false">H254-K254</f>
        <v>3467100</v>
      </c>
      <c r="M254" s="8" t="n">
        <f aca="false">IF(B254=0,0,K254/B254)</f>
        <v>0.487521118958593</v>
      </c>
      <c r="N254" s="7" t="n">
        <f aca="false">K254/가정!$B$8</f>
        <v>176019.5</v>
      </c>
      <c r="O254" s="7" t="n">
        <f aca="false">IF(I254&gt;0,A254,"")</f>
        <v>249</v>
      </c>
      <c r="P254" s="7" t="n">
        <f aca="false">IF(L254&gt;=0,A254,"")</f>
        <v>249</v>
      </c>
      <c r="Q254" s="7" t="n">
        <f aca="false">IF(K254&gt;=가정!$B$32,A254,"")</f>
        <v>249</v>
      </c>
      <c r="R254" s="7" t="str">
        <f aca="false">IF(MAX(0,I254)*(1-가정!$B$6)*'1억 상환'!$B$6&gt;='1억 상환'!$B$5,A254,"")</f>
        <v/>
      </c>
    </row>
    <row r="255" customFormat="false" ht="15" hidden="false" customHeight="false" outlineLevel="0" collapsed="false">
      <c r="A255" s="7" t="n">
        <v>250</v>
      </c>
      <c r="B255" s="7" t="n">
        <f aca="false">A255*가정!$B$10</f>
        <v>72500000</v>
      </c>
      <c r="C255" s="7" t="n">
        <f aca="false">가정!$B$34</f>
        <v>3590000</v>
      </c>
      <c r="D255" s="7" t="n">
        <f aca="false">ROUNDUP(MAX(0,A255-가정!$B$18)/가정!$B$19,0)</f>
        <v>5</v>
      </c>
      <c r="E255" s="7" t="n">
        <f aca="false">D255*가정!$B$20+ROUNDUP(A255/가정!$B$22,0)*가정!$B$21+ROUNDUP(A255/가정!$B$24,0)*가정!$B$23</f>
        <v>29700000</v>
      </c>
      <c r="F255" s="7" t="n">
        <f aca="false">A255*가정!$B$26+B255*가정!$B$27</f>
        <v>250000</v>
      </c>
      <c r="G255" s="7" t="n">
        <f aca="false">B255*가정!$B$28</f>
        <v>0</v>
      </c>
      <c r="H255" s="7" t="n">
        <f aca="false">B255-C255-E255-F255-G255</f>
        <v>38960000</v>
      </c>
      <c r="I255" s="7" t="n">
        <f aca="false">H255-IF(가정!$B$7=1,가정!$B$5,0)</f>
        <v>34960000</v>
      </c>
      <c r="J255" s="7" t="n">
        <f aca="false">MAX(0,I255)*가정!$B$6</f>
        <v>31464000</v>
      </c>
      <c r="K255" s="7" t="n">
        <f aca="false">가정!$B$5+J255</f>
        <v>35464000</v>
      </c>
      <c r="L255" s="7" t="n">
        <f aca="false">H255-K255</f>
        <v>3496000</v>
      </c>
      <c r="M255" s="8" t="n">
        <f aca="false">IF(B255=0,0,K255/B255)</f>
        <v>0.489158620689655</v>
      </c>
      <c r="N255" s="7" t="n">
        <f aca="false">K255/가정!$B$8</f>
        <v>177320</v>
      </c>
      <c r="O255" s="7" t="n">
        <f aca="false">IF(I255&gt;0,A255,"")</f>
        <v>250</v>
      </c>
      <c r="P255" s="7" t="n">
        <f aca="false">IF(L255&gt;=0,A255,"")</f>
        <v>250</v>
      </c>
      <c r="Q255" s="7" t="n">
        <f aca="false">IF(K255&gt;=가정!$B$32,A255,"")</f>
        <v>250</v>
      </c>
      <c r="R255" s="7" t="str">
        <f aca="false">IF(MAX(0,I255)*(1-가정!$B$6)*'1억 상환'!$B$6&gt;='1억 상환'!$B$5,A255,"")</f>
        <v/>
      </c>
    </row>
    <row r="256" customFormat="false" ht="15" hidden="false" customHeight="false" outlineLevel="0" collapsed="false">
      <c r="A256" s="7" t="n">
        <v>251</v>
      </c>
      <c r="B256" s="7" t="n">
        <f aca="false">A256*가정!$B$10</f>
        <v>72790000</v>
      </c>
      <c r="C256" s="7" t="n">
        <f aca="false">가정!$B$34</f>
        <v>3590000</v>
      </c>
      <c r="D256" s="7" t="n">
        <f aca="false">ROUNDUP(MAX(0,A256-가정!$B$18)/가정!$B$19,0)</f>
        <v>5</v>
      </c>
      <c r="E256" s="7" t="n">
        <f aca="false">D256*가정!$B$20+ROUNDUP(A256/가정!$B$22,0)*가정!$B$21+ROUNDUP(A256/가정!$B$24,0)*가정!$B$23</f>
        <v>29700000</v>
      </c>
      <c r="F256" s="7" t="n">
        <f aca="false">A256*가정!$B$26+B256*가정!$B$27</f>
        <v>251000</v>
      </c>
      <c r="G256" s="7" t="n">
        <f aca="false">B256*가정!$B$28</f>
        <v>0</v>
      </c>
      <c r="H256" s="7" t="n">
        <f aca="false">B256-C256-E256-F256-G256</f>
        <v>39249000</v>
      </c>
      <c r="I256" s="7" t="n">
        <f aca="false">H256-IF(가정!$B$7=1,가정!$B$5,0)</f>
        <v>35249000</v>
      </c>
      <c r="J256" s="7" t="n">
        <f aca="false">MAX(0,I256)*가정!$B$6</f>
        <v>31724100</v>
      </c>
      <c r="K256" s="7" t="n">
        <f aca="false">가정!$B$5+J256</f>
        <v>35724100</v>
      </c>
      <c r="L256" s="7" t="n">
        <f aca="false">H256-K256</f>
        <v>3524900</v>
      </c>
      <c r="M256" s="8" t="n">
        <f aca="false">IF(B256=0,0,K256/B256)</f>
        <v>0.490783074598159</v>
      </c>
      <c r="N256" s="7" t="n">
        <f aca="false">K256/가정!$B$8</f>
        <v>178620.5</v>
      </c>
      <c r="O256" s="7" t="n">
        <f aca="false">IF(I256&gt;0,A256,"")</f>
        <v>251</v>
      </c>
      <c r="P256" s="7" t="n">
        <f aca="false">IF(L256&gt;=0,A256,"")</f>
        <v>251</v>
      </c>
      <c r="Q256" s="7" t="n">
        <f aca="false">IF(K256&gt;=가정!$B$32,A256,"")</f>
        <v>251</v>
      </c>
      <c r="R256" s="7" t="str">
        <f aca="false">IF(MAX(0,I256)*(1-가정!$B$6)*'1억 상환'!$B$6&gt;='1억 상환'!$B$5,A256,"")</f>
        <v/>
      </c>
    </row>
    <row r="257" customFormat="false" ht="15" hidden="false" customHeight="false" outlineLevel="0" collapsed="false">
      <c r="A257" s="7" t="n">
        <v>252</v>
      </c>
      <c r="B257" s="7" t="n">
        <f aca="false">A257*가정!$B$10</f>
        <v>73080000</v>
      </c>
      <c r="C257" s="7" t="n">
        <f aca="false">가정!$B$34</f>
        <v>3590000</v>
      </c>
      <c r="D257" s="7" t="n">
        <f aca="false">ROUNDUP(MAX(0,A257-가정!$B$18)/가정!$B$19,0)</f>
        <v>5</v>
      </c>
      <c r="E257" s="7" t="n">
        <f aca="false">D257*가정!$B$20+ROUNDUP(A257/가정!$B$22,0)*가정!$B$21+ROUNDUP(A257/가정!$B$24,0)*가정!$B$23</f>
        <v>29700000</v>
      </c>
      <c r="F257" s="7" t="n">
        <f aca="false">A257*가정!$B$26+B257*가정!$B$27</f>
        <v>252000</v>
      </c>
      <c r="G257" s="7" t="n">
        <f aca="false">B257*가정!$B$28</f>
        <v>0</v>
      </c>
      <c r="H257" s="7" t="n">
        <f aca="false">B257-C257-E257-F257-G257</f>
        <v>39538000</v>
      </c>
      <c r="I257" s="7" t="n">
        <f aca="false">H257-IF(가정!$B$7=1,가정!$B$5,0)</f>
        <v>35538000</v>
      </c>
      <c r="J257" s="7" t="n">
        <f aca="false">MAX(0,I257)*가정!$B$6</f>
        <v>31984200</v>
      </c>
      <c r="K257" s="7" t="n">
        <f aca="false">가정!$B$5+J257</f>
        <v>35984200</v>
      </c>
      <c r="L257" s="7" t="n">
        <f aca="false">H257-K257</f>
        <v>3553800</v>
      </c>
      <c r="M257" s="8" t="n">
        <f aca="false">IF(B257=0,0,K257/B257)</f>
        <v>0.492394636015326</v>
      </c>
      <c r="N257" s="7" t="n">
        <f aca="false">K257/가정!$B$8</f>
        <v>179921</v>
      </c>
      <c r="O257" s="7" t="n">
        <f aca="false">IF(I257&gt;0,A257,"")</f>
        <v>252</v>
      </c>
      <c r="P257" s="7" t="n">
        <f aca="false">IF(L257&gt;=0,A257,"")</f>
        <v>252</v>
      </c>
      <c r="Q257" s="7" t="n">
        <f aca="false">IF(K257&gt;=가정!$B$32,A257,"")</f>
        <v>252</v>
      </c>
      <c r="R257" s="7" t="str">
        <f aca="false">IF(MAX(0,I257)*(1-가정!$B$6)*'1억 상환'!$B$6&gt;='1억 상환'!$B$5,A257,"")</f>
        <v/>
      </c>
    </row>
    <row r="258" customFormat="false" ht="15" hidden="false" customHeight="false" outlineLevel="0" collapsed="false">
      <c r="A258" s="7" t="n">
        <v>253</v>
      </c>
      <c r="B258" s="7" t="n">
        <f aca="false">A258*가정!$B$10</f>
        <v>73370000</v>
      </c>
      <c r="C258" s="7" t="n">
        <f aca="false">가정!$B$34</f>
        <v>3590000</v>
      </c>
      <c r="D258" s="7" t="n">
        <f aca="false">ROUNDUP(MAX(0,A258-가정!$B$18)/가정!$B$19,0)</f>
        <v>5</v>
      </c>
      <c r="E258" s="7" t="n">
        <f aca="false">D258*가정!$B$20+ROUNDUP(A258/가정!$B$22,0)*가정!$B$21+ROUNDUP(A258/가정!$B$24,0)*가정!$B$23</f>
        <v>29700000</v>
      </c>
      <c r="F258" s="7" t="n">
        <f aca="false">A258*가정!$B$26+B258*가정!$B$27</f>
        <v>253000</v>
      </c>
      <c r="G258" s="7" t="n">
        <f aca="false">B258*가정!$B$28</f>
        <v>0</v>
      </c>
      <c r="H258" s="7" t="n">
        <f aca="false">B258-C258-E258-F258-G258</f>
        <v>39827000</v>
      </c>
      <c r="I258" s="7" t="n">
        <f aca="false">H258-IF(가정!$B$7=1,가정!$B$5,0)</f>
        <v>35827000</v>
      </c>
      <c r="J258" s="7" t="n">
        <f aca="false">MAX(0,I258)*가정!$B$6</f>
        <v>32244300</v>
      </c>
      <c r="K258" s="7" t="n">
        <f aca="false">가정!$B$5+J258</f>
        <v>36244300</v>
      </c>
      <c r="L258" s="7" t="n">
        <f aca="false">H258-K258</f>
        <v>3582700</v>
      </c>
      <c r="M258" s="8" t="n">
        <f aca="false">IF(B258=0,0,K258/B258)</f>
        <v>0.493993457816546</v>
      </c>
      <c r="N258" s="7" t="n">
        <f aca="false">K258/가정!$B$8</f>
        <v>181221.5</v>
      </c>
      <c r="O258" s="7" t="n">
        <f aca="false">IF(I258&gt;0,A258,"")</f>
        <v>253</v>
      </c>
      <c r="P258" s="7" t="n">
        <f aca="false">IF(L258&gt;=0,A258,"")</f>
        <v>253</v>
      </c>
      <c r="Q258" s="7" t="n">
        <f aca="false">IF(K258&gt;=가정!$B$32,A258,"")</f>
        <v>253</v>
      </c>
      <c r="R258" s="7" t="str">
        <f aca="false">IF(MAX(0,I258)*(1-가정!$B$6)*'1억 상환'!$B$6&gt;='1억 상환'!$B$5,A258,"")</f>
        <v/>
      </c>
    </row>
    <row r="259" customFormat="false" ht="15" hidden="false" customHeight="false" outlineLevel="0" collapsed="false">
      <c r="A259" s="7" t="n">
        <v>254</v>
      </c>
      <c r="B259" s="7" t="n">
        <f aca="false">A259*가정!$B$10</f>
        <v>73660000</v>
      </c>
      <c r="C259" s="7" t="n">
        <f aca="false">가정!$B$34</f>
        <v>3590000</v>
      </c>
      <c r="D259" s="7" t="n">
        <f aca="false">ROUNDUP(MAX(0,A259-가정!$B$18)/가정!$B$19,0)</f>
        <v>5</v>
      </c>
      <c r="E259" s="7" t="n">
        <f aca="false">D259*가정!$B$20+ROUNDUP(A259/가정!$B$22,0)*가정!$B$21+ROUNDUP(A259/가정!$B$24,0)*가정!$B$23</f>
        <v>29700000</v>
      </c>
      <c r="F259" s="7" t="n">
        <f aca="false">A259*가정!$B$26+B259*가정!$B$27</f>
        <v>254000</v>
      </c>
      <c r="G259" s="7" t="n">
        <f aca="false">B259*가정!$B$28</f>
        <v>0</v>
      </c>
      <c r="H259" s="7" t="n">
        <f aca="false">B259-C259-E259-F259-G259</f>
        <v>40116000</v>
      </c>
      <c r="I259" s="7" t="n">
        <f aca="false">H259-IF(가정!$B$7=1,가정!$B$5,0)</f>
        <v>36116000</v>
      </c>
      <c r="J259" s="7" t="n">
        <f aca="false">MAX(0,I259)*가정!$B$6</f>
        <v>32504400</v>
      </c>
      <c r="K259" s="7" t="n">
        <f aca="false">가정!$B$5+J259</f>
        <v>36504400</v>
      </c>
      <c r="L259" s="7" t="n">
        <f aca="false">H259-K259</f>
        <v>3611600</v>
      </c>
      <c r="M259" s="8" t="n">
        <f aca="false">IF(B259=0,0,K259/B259)</f>
        <v>0.495579690469726</v>
      </c>
      <c r="N259" s="7" t="n">
        <f aca="false">K259/가정!$B$8</f>
        <v>182522</v>
      </c>
      <c r="O259" s="7" t="n">
        <f aca="false">IF(I259&gt;0,A259,"")</f>
        <v>254</v>
      </c>
      <c r="P259" s="7" t="n">
        <f aca="false">IF(L259&gt;=0,A259,"")</f>
        <v>254</v>
      </c>
      <c r="Q259" s="7" t="n">
        <f aca="false">IF(K259&gt;=가정!$B$32,A259,"")</f>
        <v>254</v>
      </c>
      <c r="R259" s="7" t="str">
        <f aca="false">IF(MAX(0,I259)*(1-가정!$B$6)*'1억 상환'!$B$6&gt;='1억 상환'!$B$5,A259,"")</f>
        <v/>
      </c>
    </row>
    <row r="260" customFormat="false" ht="15" hidden="false" customHeight="false" outlineLevel="0" collapsed="false">
      <c r="A260" s="7" t="n">
        <v>255</v>
      </c>
      <c r="B260" s="7" t="n">
        <f aca="false">A260*가정!$B$10</f>
        <v>73950000</v>
      </c>
      <c r="C260" s="7" t="n">
        <f aca="false">가정!$B$34</f>
        <v>3590000</v>
      </c>
      <c r="D260" s="7" t="n">
        <f aca="false">ROUNDUP(MAX(0,A260-가정!$B$18)/가정!$B$19,0)</f>
        <v>5</v>
      </c>
      <c r="E260" s="7" t="n">
        <f aca="false">D260*가정!$B$20+ROUNDUP(A260/가정!$B$22,0)*가정!$B$21+ROUNDUP(A260/가정!$B$24,0)*가정!$B$23</f>
        <v>29700000</v>
      </c>
      <c r="F260" s="7" t="n">
        <f aca="false">A260*가정!$B$26+B260*가정!$B$27</f>
        <v>255000</v>
      </c>
      <c r="G260" s="7" t="n">
        <f aca="false">B260*가정!$B$28</f>
        <v>0</v>
      </c>
      <c r="H260" s="7" t="n">
        <f aca="false">B260-C260-E260-F260-G260</f>
        <v>40405000</v>
      </c>
      <c r="I260" s="7" t="n">
        <f aca="false">H260-IF(가정!$B$7=1,가정!$B$5,0)</f>
        <v>36405000</v>
      </c>
      <c r="J260" s="7" t="n">
        <f aca="false">MAX(0,I260)*가정!$B$6</f>
        <v>32764500</v>
      </c>
      <c r="K260" s="7" t="n">
        <f aca="false">가정!$B$5+J260</f>
        <v>36764500</v>
      </c>
      <c r="L260" s="7" t="n">
        <f aca="false">H260-K260</f>
        <v>3640500</v>
      </c>
      <c r="M260" s="8" t="n">
        <f aca="false">IF(B260=0,0,K260/B260)</f>
        <v>0.497153482082488</v>
      </c>
      <c r="N260" s="7" t="n">
        <f aca="false">K260/가정!$B$8</f>
        <v>183822.5</v>
      </c>
      <c r="O260" s="7" t="n">
        <f aca="false">IF(I260&gt;0,A260,"")</f>
        <v>255</v>
      </c>
      <c r="P260" s="7" t="n">
        <f aca="false">IF(L260&gt;=0,A260,"")</f>
        <v>255</v>
      </c>
      <c r="Q260" s="7" t="n">
        <f aca="false">IF(K260&gt;=가정!$B$32,A260,"")</f>
        <v>255</v>
      </c>
      <c r="R260" s="7" t="str">
        <f aca="false">IF(MAX(0,I260)*(1-가정!$B$6)*'1억 상환'!$B$6&gt;='1억 상환'!$B$5,A260,"")</f>
        <v/>
      </c>
    </row>
    <row r="261" customFormat="false" ht="15" hidden="false" customHeight="false" outlineLevel="0" collapsed="false">
      <c r="A261" s="7" t="n">
        <v>256</v>
      </c>
      <c r="B261" s="7" t="n">
        <f aca="false">A261*가정!$B$10</f>
        <v>74240000</v>
      </c>
      <c r="C261" s="7" t="n">
        <f aca="false">가정!$B$34</f>
        <v>3590000</v>
      </c>
      <c r="D261" s="7" t="n">
        <f aca="false">ROUNDUP(MAX(0,A261-가정!$B$18)/가정!$B$19,0)</f>
        <v>5</v>
      </c>
      <c r="E261" s="7" t="n">
        <f aca="false">D261*가정!$B$20+ROUNDUP(A261/가정!$B$22,0)*가정!$B$21+ROUNDUP(A261/가정!$B$24,0)*가정!$B$23</f>
        <v>29700000</v>
      </c>
      <c r="F261" s="7" t="n">
        <f aca="false">A261*가정!$B$26+B261*가정!$B$27</f>
        <v>256000</v>
      </c>
      <c r="G261" s="7" t="n">
        <f aca="false">B261*가정!$B$28</f>
        <v>0</v>
      </c>
      <c r="H261" s="7" t="n">
        <f aca="false">B261-C261-E261-F261-G261</f>
        <v>40694000</v>
      </c>
      <c r="I261" s="7" t="n">
        <f aca="false">H261-IF(가정!$B$7=1,가정!$B$5,0)</f>
        <v>36694000</v>
      </c>
      <c r="J261" s="7" t="n">
        <f aca="false">MAX(0,I261)*가정!$B$6</f>
        <v>33024600</v>
      </c>
      <c r="K261" s="7" t="n">
        <f aca="false">가정!$B$5+J261</f>
        <v>37024600</v>
      </c>
      <c r="L261" s="7" t="n">
        <f aca="false">H261-K261</f>
        <v>3669400</v>
      </c>
      <c r="M261" s="8" t="n">
        <f aca="false">IF(B261=0,0,K261/B261)</f>
        <v>0.498714978448276</v>
      </c>
      <c r="N261" s="7" t="n">
        <f aca="false">K261/가정!$B$8</f>
        <v>185123</v>
      </c>
      <c r="O261" s="7" t="n">
        <f aca="false">IF(I261&gt;0,A261,"")</f>
        <v>256</v>
      </c>
      <c r="P261" s="7" t="n">
        <f aca="false">IF(L261&gt;=0,A261,"")</f>
        <v>256</v>
      </c>
      <c r="Q261" s="7" t="n">
        <f aca="false">IF(K261&gt;=가정!$B$32,A261,"")</f>
        <v>256</v>
      </c>
      <c r="R261" s="7" t="str">
        <f aca="false">IF(MAX(0,I261)*(1-가정!$B$6)*'1억 상환'!$B$6&gt;='1억 상환'!$B$5,A261,"")</f>
        <v/>
      </c>
    </row>
    <row r="262" customFormat="false" ht="15" hidden="false" customHeight="false" outlineLevel="0" collapsed="false">
      <c r="A262" s="7" t="n">
        <v>257</v>
      </c>
      <c r="B262" s="7" t="n">
        <f aca="false">A262*가정!$B$10</f>
        <v>74530000</v>
      </c>
      <c r="C262" s="7" t="n">
        <f aca="false">가정!$B$34</f>
        <v>3590000</v>
      </c>
      <c r="D262" s="7" t="n">
        <f aca="false">ROUNDUP(MAX(0,A262-가정!$B$18)/가정!$B$19,0)</f>
        <v>5</v>
      </c>
      <c r="E262" s="7" t="n">
        <f aca="false">D262*가정!$B$20+ROUNDUP(A262/가정!$B$22,0)*가정!$B$21+ROUNDUP(A262/가정!$B$24,0)*가정!$B$23</f>
        <v>29700000</v>
      </c>
      <c r="F262" s="7" t="n">
        <f aca="false">A262*가정!$B$26+B262*가정!$B$27</f>
        <v>257000</v>
      </c>
      <c r="G262" s="7" t="n">
        <f aca="false">B262*가정!$B$28</f>
        <v>0</v>
      </c>
      <c r="H262" s="7" t="n">
        <f aca="false">B262-C262-E262-F262-G262</f>
        <v>40983000</v>
      </c>
      <c r="I262" s="7" t="n">
        <f aca="false">H262-IF(가정!$B$7=1,가정!$B$5,0)</f>
        <v>36983000</v>
      </c>
      <c r="J262" s="7" t="n">
        <f aca="false">MAX(0,I262)*가정!$B$6</f>
        <v>33284700</v>
      </c>
      <c r="K262" s="7" t="n">
        <f aca="false">가정!$B$5+J262</f>
        <v>37284700</v>
      </c>
      <c r="L262" s="7" t="n">
        <f aca="false">H262-K262</f>
        <v>3698300</v>
      </c>
      <c r="M262" s="8" t="n">
        <f aca="false">IF(B262=0,0,K262/B262)</f>
        <v>0.500264323091373</v>
      </c>
      <c r="N262" s="7" t="n">
        <f aca="false">K262/가정!$B$8</f>
        <v>186423.5</v>
      </c>
      <c r="O262" s="7" t="n">
        <f aca="false">IF(I262&gt;0,A262,"")</f>
        <v>257</v>
      </c>
      <c r="P262" s="7" t="n">
        <f aca="false">IF(L262&gt;=0,A262,"")</f>
        <v>257</v>
      </c>
      <c r="Q262" s="7" t="n">
        <f aca="false">IF(K262&gt;=가정!$B$32,A262,"")</f>
        <v>257</v>
      </c>
      <c r="R262" s="7" t="str">
        <f aca="false">IF(MAX(0,I262)*(1-가정!$B$6)*'1억 상환'!$B$6&gt;='1억 상환'!$B$5,A262,"")</f>
        <v/>
      </c>
    </row>
    <row r="263" customFormat="false" ht="15" hidden="false" customHeight="false" outlineLevel="0" collapsed="false">
      <c r="A263" s="7" t="n">
        <v>258</v>
      </c>
      <c r="B263" s="7" t="n">
        <f aca="false">A263*가정!$B$10</f>
        <v>74820000</v>
      </c>
      <c r="C263" s="7" t="n">
        <f aca="false">가정!$B$34</f>
        <v>3590000</v>
      </c>
      <c r="D263" s="7" t="n">
        <f aca="false">ROUNDUP(MAX(0,A263-가정!$B$18)/가정!$B$19,0)</f>
        <v>5</v>
      </c>
      <c r="E263" s="7" t="n">
        <f aca="false">D263*가정!$B$20+ROUNDUP(A263/가정!$B$22,0)*가정!$B$21+ROUNDUP(A263/가정!$B$24,0)*가정!$B$23</f>
        <v>29700000</v>
      </c>
      <c r="F263" s="7" t="n">
        <f aca="false">A263*가정!$B$26+B263*가정!$B$27</f>
        <v>258000</v>
      </c>
      <c r="G263" s="7" t="n">
        <f aca="false">B263*가정!$B$28</f>
        <v>0</v>
      </c>
      <c r="H263" s="7" t="n">
        <f aca="false">B263-C263-E263-F263-G263</f>
        <v>41272000</v>
      </c>
      <c r="I263" s="7" t="n">
        <f aca="false">H263-IF(가정!$B$7=1,가정!$B$5,0)</f>
        <v>37272000</v>
      </c>
      <c r="J263" s="7" t="n">
        <f aca="false">MAX(0,I263)*가정!$B$6</f>
        <v>33544800</v>
      </c>
      <c r="K263" s="7" t="n">
        <f aca="false">가정!$B$5+J263</f>
        <v>37544800</v>
      </c>
      <c r="L263" s="7" t="n">
        <f aca="false">H263-K263</f>
        <v>3727200</v>
      </c>
      <c r="M263" s="8" t="n">
        <f aca="false">IF(B263=0,0,K263/B263)</f>
        <v>0.501801657310879</v>
      </c>
      <c r="N263" s="7" t="n">
        <f aca="false">K263/가정!$B$8</f>
        <v>187724</v>
      </c>
      <c r="O263" s="7" t="n">
        <f aca="false">IF(I263&gt;0,A263,"")</f>
        <v>258</v>
      </c>
      <c r="P263" s="7" t="n">
        <f aca="false">IF(L263&gt;=0,A263,"")</f>
        <v>258</v>
      </c>
      <c r="Q263" s="7" t="n">
        <f aca="false">IF(K263&gt;=가정!$B$32,A263,"")</f>
        <v>258</v>
      </c>
      <c r="R263" s="7" t="str">
        <f aca="false">IF(MAX(0,I263)*(1-가정!$B$6)*'1억 상환'!$B$6&gt;='1억 상환'!$B$5,A263,"")</f>
        <v/>
      </c>
    </row>
    <row r="264" customFormat="false" ht="15" hidden="false" customHeight="false" outlineLevel="0" collapsed="false">
      <c r="A264" s="7" t="n">
        <v>259</v>
      </c>
      <c r="B264" s="7" t="n">
        <f aca="false">A264*가정!$B$10</f>
        <v>75110000</v>
      </c>
      <c r="C264" s="7" t="n">
        <f aca="false">가정!$B$34</f>
        <v>3590000</v>
      </c>
      <c r="D264" s="7" t="n">
        <f aca="false">ROUNDUP(MAX(0,A264-가정!$B$18)/가정!$B$19,0)</f>
        <v>5</v>
      </c>
      <c r="E264" s="7" t="n">
        <f aca="false">D264*가정!$B$20+ROUNDUP(A264/가정!$B$22,0)*가정!$B$21+ROUNDUP(A264/가정!$B$24,0)*가정!$B$23</f>
        <v>29700000</v>
      </c>
      <c r="F264" s="7" t="n">
        <f aca="false">A264*가정!$B$26+B264*가정!$B$27</f>
        <v>259000</v>
      </c>
      <c r="G264" s="7" t="n">
        <f aca="false">B264*가정!$B$28</f>
        <v>0</v>
      </c>
      <c r="H264" s="7" t="n">
        <f aca="false">B264-C264-E264-F264-G264</f>
        <v>41561000</v>
      </c>
      <c r="I264" s="7" t="n">
        <f aca="false">H264-IF(가정!$B$7=1,가정!$B$5,0)</f>
        <v>37561000</v>
      </c>
      <c r="J264" s="7" t="n">
        <f aca="false">MAX(0,I264)*가정!$B$6</f>
        <v>33804900</v>
      </c>
      <c r="K264" s="7" t="n">
        <f aca="false">가정!$B$5+J264</f>
        <v>37804900</v>
      </c>
      <c r="L264" s="7" t="n">
        <f aca="false">H264-K264</f>
        <v>3756100</v>
      </c>
      <c r="M264" s="8" t="n">
        <f aca="false">IF(B264=0,0,K264/B264)</f>
        <v>0.503327120223672</v>
      </c>
      <c r="N264" s="7" t="n">
        <f aca="false">K264/가정!$B$8</f>
        <v>189024.5</v>
      </c>
      <c r="O264" s="7" t="n">
        <f aca="false">IF(I264&gt;0,A264,"")</f>
        <v>259</v>
      </c>
      <c r="P264" s="7" t="n">
        <f aca="false">IF(L264&gt;=0,A264,"")</f>
        <v>259</v>
      </c>
      <c r="Q264" s="7" t="n">
        <f aca="false">IF(K264&gt;=가정!$B$32,A264,"")</f>
        <v>259</v>
      </c>
      <c r="R264" s="7" t="str">
        <f aca="false">IF(MAX(0,I264)*(1-가정!$B$6)*'1억 상환'!$B$6&gt;='1억 상환'!$B$5,A264,"")</f>
        <v/>
      </c>
    </row>
    <row r="265" customFormat="false" ht="15" hidden="false" customHeight="false" outlineLevel="0" collapsed="false">
      <c r="A265" s="7" t="n">
        <v>260</v>
      </c>
      <c r="B265" s="7" t="n">
        <f aca="false">A265*가정!$B$10</f>
        <v>75400000</v>
      </c>
      <c r="C265" s="7" t="n">
        <f aca="false">가정!$B$34</f>
        <v>3590000</v>
      </c>
      <c r="D265" s="7" t="n">
        <f aca="false">ROUNDUP(MAX(0,A265-가정!$B$18)/가정!$B$19,0)</f>
        <v>5</v>
      </c>
      <c r="E265" s="7" t="n">
        <f aca="false">D265*가정!$B$20+ROUNDUP(A265/가정!$B$22,0)*가정!$B$21+ROUNDUP(A265/가정!$B$24,0)*가정!$B$23</f>
        <v>29700000</v>
      </c>
      <c r="F265" s="7" t="n">
        <f aca="false">A265*가정!$B$26+B265*가정!$B$27</f>
        <v>260000</v>
      </c>
      <c r="G265" s="7" t="n">
        <f aca="false">B265*가정!$B$28</f>
        <v>0</v>
      </c>
      <c r="H265" s="7" t="n">
        <f aca="false">B265-C265-E265-F265-G265</f>
        <v>41850000</v>
      </c>
      <c r="I265" s="7" t="n">
        <f aca="false">H265-IF(가정!$B$7=1,가정!$B$5,0)</f>
        <v>37850000</v>
      </c>
      <c r="J265" s="7" t="n">
        <f aca="false">MAX(0,I265)*가정!$B$6</f>
        <v>34065000</v>
      </c>
      <c r="K265" s="7" t="n">
        <f aca="false">가정!$B$5+J265</f>
        <v>38065000</v>
      </c>
      <c r="L265" s="7" t="n">
        <f aca="false">H265-K265</f>
        <v>3785000</v>
      </c>
      <c r="M265" s="8" t="n">
        <f aca="false">IF(B265=0,0,K265/B265)</f>
        <v>0.504840848806366</v>
      </c>
      <c r="N265" s="7" t="n">
        <f aca="false">K265/가정!$B$8</f>
        <v>190325</v>
      </c>
      <c r="O265" s="7" t="n">
        <f aca="false">IF(I265&gt;0,A265,"")</f>
        <v>260</v>
      </c>
      <c r="P265" s="7" t="n">
        <f aca="false">IF(L265&gt;=0,A265,"")</f>
        <v>260</v>
      </c>
      <c r="Q265" s="7" t="n">
        <f aca="false">IF(K265&gt;=가정!$B$32,A265,"")</f>
        <v>260</v>
      </c>
      <c r="R265" s="7" t="str">
        <f aca="false">IF(MAX(0,I265)*(1-가정!$B$6)*'1억 상환'!$B$6&gt;='1억 상환'!$B$5,A265,"")</f>
        <v/>
      </c>
    </row>
    <row r="266" customFormat="false" ht="15" hidden="false" customHeight="false" outlineLevel="0" collapsed="false">
      <c r="A266" s="7" t="n">
        <v>261</v>
      </c>
      <c r="B266" s="7" t="n">
        <f aca="false">A266*가정!$B$10</f>
        <v>75690000</v>
      </c>
      <c r="C266" s="7" t="n">
        <f aca="false">가정!$B$34</f>
        <v>3590000</v>
      </c>
      <c r="D266" s="7" t="n">
        <f aca="false">ROUNDUP(MAX(0,A266-가정!$B$18)/가정!$B$19,0)</f>
        <v>5</v>
      </c>
      <c r="E266" s="7" t="n">
        <f aca="false">D266*가정!$B$20+ROUNDUP(A266/가정!$B$22,0)*가정!$B$21+ROUNDUP(A266/가정!$B$24,0)*가정!$B$23</f>
        <v>29700000</v>
      </c>
      <c r="F266" s="7" t="n">
        <f aca="false">A266*가정!$B$26+B266*가정!$B$27</f>
        <v>261000</v>
      </c>
      <c r="G266" s="7" t="n">
        <f aca="false">B266*가정!$B$28</f>
        <v>0</v>
      </c>
      <c r="H266" s="7" t="n">
        <f aca="false">B266-C266-E266-F266-G266</f>
        <v>42139000</v>
      </c>
      <c r="I266" s="7" t="n">
        <f aca="false">H266-IF(가정!$B$7=1,가정!$B$5,0)</f>
        <v>38139000</v>
      </c>
      <c r="J266" s="7" t="n">
        <f aca="false">MAX(0,I266)*가정!$B$6</f>
        <v>34325100</v>
      </c>
      <c r="K266" s="7" t="n">
        <f aca="false">가정!$B$5+J266</f>
        <v>38325100</v>
      </c>
      <c r="L266" s="7" t="n">
        <f aca="false">H266-K266</f>
        <v>3813900</v>
      </c>
      <c r="M266" s="8" t="n">
        <f aca="false">IF(B266=0,0,K266/B266)</f>
        <v>0.506342977936319</v>
      </c>
      <c r="N266" s="7" t="n">
        <f aca="false">K266/가정!$B$8</f>
        <v>191625.5</v>
      </c>
      <c r="O266" s="7" t="n">
        <f aca="false">IF(I266&gt;0,A266,"")</f>
        <v>261</v>
      </c>
      <c r="P266" s="7" t="n">
        <f aca="false">IF(L266&gt;=0,A266,"")</f>
        <v>261</v>
      </c>
      <c r="Q266" s="7" t="n">
        <f aca="false">IF(K266&gt;=가정!$B$32,A266,"")</f>
        <v>261</v>
      </c>
      <c r="R266" s="7" t="str">
        <f aca="false">IF(MAX(0,I266)*(1-가정!$B$6)*'1억 상환'!$B$6&gt;='1억 상환'!$B$5,A266,"")</f>
        <v/>
      </c>
    </row>
    <row r="267" customFormat="false" ht="15" hidden="false" customHeight="false" outlineLevel="0" collapsed="false">
      <c r="A267" s="7" t="n">
        <v>262</v>
      </c>
      <c r="B267" s="7" t="n">
        <f aca="false">A267*가정!$B$10</f>
        <v>75980000</v>
      </c>
      <c r="C267" s="7" t="n">
        <f aca="false">가정!$B$34</f>
        <v>3590000</v>
      </c>
      <c r="D267" s="7" t="n">
        <f aca="false">ROUNDUP(MAX(0,A267-가정!$B$18)/가정!$B$19,0)</f>
        <v>5</v>
      </c>
      <c r="E267" s="7" t="n">
        <f aca="false">D267*가정!$B$20+ROUNDUP(A267/가정!$B$22,0)*가정!$B$21+ROUNDUP(A267/가정!$B$24,0)*가정!$B$23</f>
        <v>29700000</v>
      </c>
      <c r="F267" s="7" t="n">
        <f aca="false">A267*가정!$B$26+B267*가정!$B$27</f>
        <v>262000</v>
      </c>
      <c r="G267" s="7" t="n">
        <f aca="false">B267*가정!$B$28</f>
        <v>0</v>
      </c>
      <c r="H267" s="7" t="n">
        <f aca="false">B267-C267-E267-F267-G267</f>
        <v>42428000</v>
      </c>
      <c r="I267" s="7" t="n">
        <f aca="false">H267-IF(가정!$B$7=1,가정!$B$5,0)</f>
        <v>38428000</v>
      </c>
      <c r="J267" s="7" t="n">
        <f aca="false">MAX(0,I267)*가정!$B$6</f>
        <v>34585200</v>
      </c>
      <c r="K267" s="7" t="n">
        <f aca="false">가정!$B$5+J267</f>
        <v>38585200</v>
      </c>
      <c r="L267" s="7" t="n">
        <f aca="false">H267-K267</f>
        <v>3842800</v>
      </c>
      <c r="M267" s="8" t="n">
        <f aca="false">IF(B267=0,0,K267/B267)</f>
        <v>0.507833640431693</v>
      </c>
      <c r="N267" s="7" t="n">
        <f aca="false">K267/가정!$B$8</f>
        <v>192926</v>
      </c>
      <c r="O267" s="7" t="n">
        <f aca="false">IF(I267&gt;0,A267,"")</f>
        <v>262</v>
      </c>
      <c r="P267" s="7" t="n">
        <f aca="false">IF(L267&gt;=0,A267,"")</f>
        <v>262</v>
      </c>
      <c r="Q267" s="7" t="n">
        <f aca="false">IF(K267&gt;=가정!$B$32,A267,"")</f>
        <v>262</v>
      </c>
      <c r="R267" s="7" t="str">
        <f aca="false">IF(MAX(0,I267)*(1-가정!$B$6)*'1억 상환'!$B$6&gt;='1억 상환'!$B$5,A267,"")</f>
        <v/>
      </c>
    </row>
    <row r="268" customFormat="false" ht="15" hidden="false" customHeight="false" outlineLevel="0" collapsed="false">
      <c r="A268" s="7" t="n">
        <v>263</v>
      </c>
      <c r="B268" s="7" t="n">
        <f aca="false">A268*가정!$B$10</f>
        <v>76270000</v>
      </c>
      <c r="C268" s="7" t="n">
        <f aca="false">가정!$B$34</f>
        <v>3590000</v>
      </c>
      <c r="D268" s="7" t="n">
        <f aca="false">ROUNDUP(MAX(0,A268-가정!$B$18)/가정!$B$19,0)</f>
        <v>5</v>
      </c>
      <c r="E268" s="7" t="n">
        <f aca="false">D268*가정!$B$20+ROUNDUP(A268/가정!$B$22,0)*가정!$B$21+ROUNDUP(A268/가정!$B$24,0)*가정!$B$23</f>
        <v>29700000</v>
      </c>
      <c r="F268" s="7" t="n">
        <f aca="false">A268*가정!$B$26+B268*가정!$B$27</f>
        <v>263000</v>
      </c>
      <c r="G268" s="7" t="n">
        <f aca="false">B268*가정!$B$28</f>
        <v>0</v>
      </c>
      <c r="H268" s="7" t="n">
        <f aca="false">B268-C268-E268-F268-G268</f>
        <v>42717000</v>
      </c>
      <c r="I268" s="7" t="n">
        <f aca="false">H268-IF(가정!$B$7=1,가정!$B$5,0)</f>
        <v>38717000</v>
      </c>
      <c r="J268" s="7" t="n">
        <f aca="false">MAX(0,I268)*가정!$B$6</f>
        <v>34845300</v>
      </c>
      <c r="K268" s="7" t="n">
        <f aca="false">가정!$B$5+J268</f>
        <v>38845300</v>
      </c>
      <c r="L268" s="7" t="n">
        <f aca="false">H268-K268</f>
        <v>3871700</v>
      </c>
      <c r="M268" s="8" t="n">
        <f aca="false">IF(B268=0,0,K268/B268)</f>
        <v>0.509312967090599</v>
      </c>
      <c r="N268" s="7" t="n">
        <f aca="false">K268/가정!$B$8</f>
        <v>194226.5</v>
      </c>
      <c r="O268" s="7" t="n">
        <f aca="false">IF(I268&gt;0,A268,"")</f>
        <v>263</v>
      </c>
      <c r="P268" s="7" t="n">
        <f aca="false">IF(L268&gt;=0,A268,"")</f>
        <v>263</v>
      </c>
      <c r="Q268" s="7" t="n">
        <f aca="false">IF(K268&gt;=가정!$B$32,A268,"")</f>
        <v>263</v>
      </c>
      <c r="R268" s="7" t="str">
        <f aca="false">IF(MAX(0,I268)*(1-가정!$B$6)*'1억 상환'!$B$6&gt;='1억 상환'!$B$5,A268,"")</f>
        <v/>
      </c>
    </row>
    <row r="269" customFormat="false" ht="15" hidden="false" customHeight="false" outlineLevel="0" collapsed="false">
      <c r="A269" s="7" t="n">
        <v>264</v>
      </c>
      <c r="B269" s="7" t="n">
        <f aca="false">A269*가정!$B$10</f>
        <v>76560000</v>
      </c>
      <c r="C269" s="7" t="n">
        <f aca="false">가정!$B$34</f>
        <v>3590000</v>
      </c>
      <c r="D269" s="7" t="n">
        <f aca="false">ROUNDUP(MAX(0,A269-가정!$B$18)/가정!$B$19,0)</f>
        <v>5</v>
      </c>
      <c r="E269" s="7" t="n">
        <f aca="false">D269*가정!$B$20+ROUNDUP(A269/가정!$B$22,0)*가정!$B$21+ROUNDUP(A269/가정!$B$24,0)*가정!$B$23</f>
        <v>29700000</v>
      </c>
      <c r="F269" s="7" t="n">
        <f aca="false">A269*가정!$B$26+B269*가정!$B$27</f>
        <v>264000</v>
      </c>
      <c r="G269" s="7" t="n">
        <f aca="false">B269*가정!$B$28</f>
        <v>0</v>
      </c>
      <c r="H269" s="7" t="n">
        <f aca="false">B269-C269-E269-F269-G269</f>
        <v>43006000</v>
      </c>
      <c r="I269" s="7" t="n">
        <f aca="false">H269-IF(가정!$B$7=1,가정!$B$5,0)</f>
        <v>39006000</v>
      </c>
      <c r="J269" s="7" t="n">
        <f aca="false">MAX(0,I269)*가정!$B$6</f>
        <v>35105400</v>
      </c>
      <c r="K269" s="7" t="n">
        <f aca="false">가정!$B$5+J269</f>
        <v>39105400</v>
      </c>
      <c r="L269" s="7" t="n">
        <f aca="false">H269-K269</f>
        <v>3900600</v>
      </c>
      <c r="M269" s="8" t="n">
        <f aca="false">IF(B269=0,0,K269/B269)</f>
        <v>0.510781086729363</v>
      </c>
      <c r="N269" s="7" t="n">
        <f aca="false">K269/가정!$B$8</f>
        <v>195527</v>
      </c>
      <c r="O269" s="7" t="n">
        <f aca="false">IF(I269&gt;0,A269,"")</f>
        <v>264</v>
      </c>
      <c r="P269" s="7" t="n">
        <f aca="false">IF(L269&gt;=0,A269,"")</f>
        <v>264</v>
      </c>
      <c r="Q269" s="7" t="n">
        <f aca="false">IF(K269&gt;=가정!$B$32,A269,"")</f>
        <v>264</v>
      </c>
      <c r="R269" s="7" t="str">
        <f aca="false">IF(MAX(0,I269)*(1-가정!$B$6)*'1억 상환'!$B$6&gt;='1억 상환'!$B$5,A269,"")</f>
        <v/>
      </c>
    </row>
    <row r="270" customFormat="false" ht="15" hidden="false" customHeight="false" outlineLevel="0" collapsed="false">
      <c r="A270" s="7" t="n">
        <v>265</v>
      </c>
      <c r="B270" s="7" t="n">
        <f aca="false">A270*가정!$B$10</f>
        <v>76850000</v>
      </c>
      <c r="C270" s="7" t="n">
        <f aca="false">가정!$B$34</f>
        <v>3590000</v>
      </c>
      <c r="D270" s="7" t="n">
        <f aca="false">ROUNDUP(MAX(0,A270-가정!$B$18)/가정!$B$19,0)</f>
        <v>5</v>
      </c>
      <c r="E270" s="7" t="n">
        <f aca="false">D270*가정!$B$20+ROUNDUP(A270/가정!$B$22,0)*가정!$B$21+ROUNDUP(A270/가정!$B$24,0)*가정!$B$23</f>
        <v>29700000</v>
      </c>
      <c r="F270" s="7" t="n">
        <f aca="false">A270*가정!$B$26+B270*가정!$B$27</f>
        <v>265000</v>
      </c>
      <c r="G270" s="7" t="n">
        <f aca="false">B270*가정!$B$28</f>
        <v>0</v>
      </c>
      <c r="H270" s="7" t="n">
        <f aca="false">B270-C270-E270-F270-G270</f>
        <v>43295000</v>
      </c>
      <c r="I270" s="7" t="n">
        <f aca="false">H270-IF(가정!$B$7=1,가정!$B$5,0)</f>
        <v>39295000</v>
      </c>
      <c r="J270" s="7" t="n">
        <f aca="false">MAX(0,I270)*가정!$B$6</f>
        <v>35365500</v>
      </c>
      <c r="K270" s="7" t="n">
        <f aca="false">가정!$B$5+J270</f>
        <v>39365500</v>
      </c>
      <c r="L270" s="7" t="n">
        <f aca="false">H270-K270</f>
        <v>3929500</v>
      </c>
      <c r="M270" s="8" t="n">
        <f aca="false">IF(B270=0,0,K270/B270)</f>
        <v>0.512238126219909</v>
      </c>
      <c r="N270" s="7" t="n">
        <f aca="false">K270/가정!$B$8</f>
        <v>196827.5</v>
      </c>
      <c r="O270" s="7" t="n">
        <f aca="false">IF(I270&gt;0,A270,"")</f>
        <v>265</v>
      </c>
      <c r="P270" s="7" t="n">
        <f aca="false">IF(L270&gt;=0,A270,"")</f>
        <v>265</v>
      </c>
      <c r="Q270" s="7" t="n">
        <f aca="false">IF(K270&gt;=가정!$B$32,A270,"")</f>
        <v>265</v>
      </c>
      <c r="R270" s="7" t="str">
        <f aca="false">IF(MAX(0,I270)*(1-가정!$B$6)*'1억 상환'!$B$6&gt;='1억 상환'!$B$5,A270,"")</f>
        <v/>
      </c>
    </row>
    <row r="271" customFormat="false" ht="15" hidden="false" customHeight="false" outlineLevel="0" collapsed="false">
      <c r="A271" s="7" t="n">
        <v>266</v>
      </c>
      <c r="B271" s="7" t="n">
        <f aca="false">A271*가정!$B$10</f>
        <v>77140000</v>
      </c>
      <c r="C271" s="7" t="n">
        <f aca="false">가정!$B$34</f>
        <v>3590000</v>
      </c>
      <c r="D271" s="7" t="n">
        <f aca="false">ROUNDUP(MAX(0,A271-가정!$B$18)/가정!$B$19,0)</f>
        <v>5</v>
      </c>
      <c r="E271" s="7" t="n">
        <f aca="false">D271*가정!$B$20+ROUNDUP(A271/가정!$B$22,0)*가정!$B$21+ROUNDUP(A271/가정!$B$24,0)*가정!$B$23</f>
        <v>29700000</v>
      </c>
      <c r="F271" s="7" t="n">
        <f aca="false">A271*가정!$B$26+B271*가정!$B$27</f>
        <v>266000</v>
      </c>
      <c r="G271" s="7" t="n">
        <f aca="false">B271*가정!$B$28</f>
        <v>0</v>
      </c>
      <c r="H271" s="7" t="n">
        <f aca="false">B271-C271-E271-F271-G271</f>
        <v>43584000</v>
      </c>
      <c r="I271" s="7" t="n">
        <f aca="false">H271-IF(가정!$B$7=1,가정!$B$5,0)</f>
        <v>39584000</v>
      </c>
      <c r="J271" s="7" t="n">
        <f aca="false">MAX(0,I271)*가정!$B$6</f>
        <v>35625600</v>
      </c>
      <c r="K271" s="7" t="n">
        <f aca="false">가정!$B$5+J271</f>
        <v>39625600</v>
      </c>
      <c r="L271" s="7" t="n">
        <f aca="false">H271-K271</f>
        <v>3958400</v>
      </c>
      <c r="M271" s="8" t="n">
        <f aca="false">IF(B271=0,0,K271/B271)</f>
        <v>0.513684210526316</v>
      </c>
      <c r="N271" s="7" t="n">
        <f aca="false">K271/가정!$B$8</f>
        <v>198128</v>
      </c>
      <c r="O271" s="7" t="n">
        <f aca="false">IF(I271&gt;0,A271,"")</f>
        <v>266</v>
      </c>
      <c r="P271" s="7" t="n">
        <f aca="false">IF(L271&gt;=0,A271,"")</f>
        <v>266</v>
      </c>
      <c r="Q271" s="7" t="n">
        <f aca="false">IF(K271&gt;=가정!$B$32,A271,"")</f>
        <v>266</v>
      </c>
      <c r="R271" s="7" t="str">
        <f aca="false">IF(MAX(0,I271)*(1-가정!$B$6)*'1억 상환'!$B$6&gt;='1억 상환'!$B$5,A271,"")</f>
        <v/>
      </c>
    </row>
    <row r="272" customFormat="false" ht="15" hidden="false" customHeight="false" outlineLevel="0" collapsed="false">
      <c r="A272" s="7" t="n">
        <v>267</v>
      </c>
      <c r="B272" s="7" t="n">
        <f aca="false">A272*가정!$B$10</f>
        <v>77430000</v>
      </c>
      <c r="C272" s="7" t="n">
        <f aca="false">가정!$B$34</f>
        <v>3590000</v>
      </c>
      <c r="D272" s="7" t="n">
        <f aca="false">ROUNDUP(MAX(0,A272-가정!$B$18)/가정!$B$19,0)</f>
        <v>5</v>
      </c>
      <c r="E272" s="7" t="n">
        <f aca="false">D272*가정!$B$20+ROUNDUP(A272/가정!$B$22,0)*가정!$B$21+ROUNDUP(A272/가정!$B$24,0)*가정!$B$23</f>
        <v>29700000</v>
      </c>
      <c r="F272" s="7" t="n">
        <f aca="false">A272*가정!$B$26+B272*가정!$B$27</f>
        <v>267000</v>
      </c>
      <c r="G272" s="7" t="n">
        <f aca="false">B272*가정!$B$28</f>
        <v>0</v>
      </c>
      <c r="H272" s="7" t="n">
        <f aca="false">B272-C272-E272-F272-G272</f>
        <v>43873000</v>
      </c>
      <c r="I272" s="7" t="n">
        <f aca="false">H272-IF(가정!$B$7=1,가정!$B$5,0)</f>
        <v>39873000</v>
      </c>
      <c r="J272" s="7" t="n">
        <f aca="false">MAX(0,I272)*가정!$B$6</f>
        <v>35885700</v>
      </c>
      <c r="K272" s="7" t="n">
        <f aca="false">가정!$B$5+J272</f>
        <v>39885700</v>
      </c>
      <c r="L272" s="7" t="n">
        <f aca="false">H272-K272</f>
        <v>3987300</v>
      </c>
      <c r="M272" s="8" t="n">
        <f aca="false">IF(B272=0,0,K272/B272)</f>
        <v>0.51511946274054</v>
      </c>
      <c r="N272" s="7" t="n">
        <f aca="false">K272/가정!$B$8</f>
        <v>199428.5</v>
      </c>
      <c r="O272" s="7" t="n">
        <f aca="false">IF(I272&gt;0,A272,"")</f>
        <v>267</v>
      </c>
      <c r="P272" s="7" t="n">
        <f aca="false">IF(L272&gt;=0,A272,"")</f>
        <v>267</v>
      </c>
      <c r="Q272" s="7" t="n">
        <f aca="false">IF(K272&gt;=가정!$B$32,A272,"")</f>
        <v>267</v>
      </c>
      <c r="R272" s="7" t="str">
        <f aca="false">IF(MAX(0,I272)*(1-가정!$B$6)*'1억 상환'!$B$6&gt;='1억 상환'!$B$5,A272,"")</f>
        <v/>
      </c>
    </row>
    <row r="273" customFormat="false" ht="15" hidden="false" customHeight="false" outlineLevel="0" collapsed="false">
      <c r="A273" s="7" t="n">
        <v>268</v>
      </c>
      <c r="B273" s="7" t="n">
        <f aca="false">A273*가정!$B$10</f>
        <v>77720000</v>
      </c>
      <c r="C273" s="7" t="n">
        <f aca="false">가정!$B$34</f>
        <v>3590000</v>
      </c>
      <c r="D273" s="7" t="n">
        <f aca="false">ROUNDUP(MAX(0,A273-가정!$B$18)/가정!$B$19,0)</f>
        <v>5</v>
      </c>
      <c r="E273" s="7" t="n">
        <f aca="false">D273*가정!$B$20+ROUNDUP(A273/가정!$B$22,0)*가정!$B$21+ROUNDUP(A273/가정!$B$24,0)*가정!$B$23</f>
        <v>29700000</v>
      </c>
      <c r="F273" s="7" t="n">
        <f aca="false">A273*가정!$B$26+B273*가정!$B$27</f>
        <v>268000</v>
      </c>
      <c r="G273" s="7" t="n">
        <f aca="false">B273*가정!$B$28</f>
        <v>0</v>
      </c>
      <c r="H273" s="7" t="n">
        <f aca="false">B273-C273-E273-F273-G273</f>
        <v>44162000</v>
      </c>
      <c r="I273" s="7" t="n">
        <f aca="false">H273-IF(가정!$B$7=1,가정!$B$5,0)</f>
        <v>40162000</v>
      </c>
      <c r="J273" s="7" t="n">
        <f aca="false">MAX(0,I273)*가정!$B$6</f>
        <v>36145800</v>
      </c>
      <c r="K273" s="7" t="n">
        <f aca="false">가정!$B$5+J273</f>
        <v>40145800</v>
      </c>
      <c r="L273" s="7" t="n">
        <f aca="false">H273-K273</f>
        <v>4016200</v>
      </c>
      <c r="M273" s="8" t="n">
        <f aca="false">IF(B273=0,0,K273/B273)</f>
        <v>0.516544004117344</v>
      </c>
      <c r="N273" s="7" t="n">
        <f aca="false">K273/가정!$B$8</f>
        <v>200729</v>
      </c>
      <c r="O273" s="7" t="n">
        <f aca="false">IF(I273&gt;0,A273,"")</f>
        <v>268</v>
      </c>
      <c r="P273" s="7" t="n">
        <f aca="false">IF(L273&gt;=0,A273,"")</f>
        <v>268</v>
      </c>
      <c r="Q273" s="7" t="n">
        <f aca="false">IF(K273&gt;=가정!$B$32,A273,"")</f>
        <v>268</v>
      </c>
      <c r="R273" s="7" t="str">
        <f aca="false">IF(MAX(0,I273)*(1-가정!$B$6)*'1억 상환'!$B$6&gt;='1억 상환'!$B$5,A273,"")</f>
        <v/>
      </c>
    </row>
    <row r="274" customFormat="false" ht="15" hidden="false" customHeight="false" outlineLevel="0" collapsed="false">
      <c r="A274" s="7" t="n">
        <v>269</v>
      </c>
      <c r="B274" s="7" t="n">
        <f aca="false">A274*가정!$B$10</f>
        <v>78010000</v>
      </c>
      <c r="C274" s="7" t="n">
        <f aca="false">가정!$B$34</f>
        <v>3590000</v>
      </c>
      <c r="D274" s="7" t="n">
        <f aca="false">ROUNDUP(MAX(0,A274-가정!$B$18)/가정!$B$19,0)</f>
        <v>5</v>
      </c>
      <c r="E274" s="7" t="n">
        <f aca="false">D274*가정!$B$20+ROUNDUP(A274/가정!$B$22,0)*가정!$B$21+ROUNDUP(A274/가정!$B$24,0)*가정!$B$23</f>
        <v>29700000</v>
      </c>
      <c r="F274" s="7" t="n">
        <f aca="false">A274*가정!$B$26+B274*가정!$B$27</f>
        <v>269000</v>
      </c>
      <c r="G274" s="7" t="n">
        <f aca="false">B274*가정!$B$28</f>
        <v>0</v>
      </c>
      <c r="H274" s="7" t="n">
        <f aca="false">B274-C274-E274-F274-G274</f>
        <v>44451000</v>
      </c>
      <c r="I274" s="7" t="n">
        <f aca="false">H274-IF(가정!$B$7=1,가정!$B$5,0)</f>
        <v>40451000</v>
      </c>
      <c r="J274" s="7" t="n">
        <f aca="false">MAX(0,I274)*가정!$B$6</f>
        <v>36405900</v>
      </c>
      <c r="K274" s="7" t="n">
        <f aca="false">가정!$B$5+J274</f>
        <v>40405900</v>
      </c>
      <c r="L274" s="7" t="n">
        <f aca="false">H274-K274</f>
        <v>4045100</v>
      </c>
      <c r="M274" s="8" t="n">
        <f aca="false">IF(B274=0,0,K274/B274)</f>
        <v>0.517957954108448</v>
      </c>
      <c r="N274" s="7" t="n">
        <f aca="false">K274/가정!$B$8</f>
        <v>202029.5</v>
      </c>
      <c r="O274" s="7" t="n">
        <f aca="false">IF(I274&gt;0,A274,"")</f>
        <v>269</v>
      </c>
      <c r="P274" s="7" t="n">
        <f aca="false">IF(L274&gt;=0,A274,"")</f>
        <v>269</v>
      </c>
      <c r="Q274" s="7" t="n">
        <f aca="false">IF(K274&gt;=가정!$B$32,A274,"")</f>
        <v>269</v>
      </c>
      <c r="R274" s="7" t="str">
        <f aca="false">IF(MAX(0,I274)*(1-가정!$B$6)*'1억 상환'!$B$6&gt;='1억 상환'!$B$5,A274,"")</f>
        <v/>
      </c>
    </row>
    <row r="275" customFormat="false" ht="15" hidden="false" customHeight="false" outlineLevel="0" collapsed="false">
      <c r="A275" s="7" t="n">
        <v>270</v>
      </c>
      <c r="B275" s="7" t="n">
        <f aca="false">A275*가정!$B$10</f>
        <v>78300000</v>
      </c>
      <c r="C275" s="7" t="n">
        <f aca="false">가정!$B$34</f>
        <v>3590000</v>
      </c>
      <c r="D275" s="7" t="n">
        <f aca="false">ROUNDUP(MAX(0,A275-가정!$B$18)/가정!$B$19,0)</f>
        <v>5</v>
      </c>
      <c r="E275" s="7" t="n">
        <f aca="false">D275*가정!$B$20+ROUNDUP(A275/가정!$B$22,0)*가정!$B$21+ROUNDUP(A275/가정!$B$24,0)*가정!$B$23</f>
        <v>29700000</v>
      </c>
      <c r="F275" s="7" t="n">
        <f aca="false">A275*가정!$B$26+B275*가정!$B$27</f>
        <v>270000</v>
      </c>
      <c r="G275" s="7" t="n">
        <f aca="false">B275*가정!$B$28</f>
        <v>0</v>
      </c>
      <c r="H275" s="7" t="n">
        <f aca="false">B275-C275-E275-F275-G275</f>
        <v>44740000</v>
      </c>
      <c r="I275" s="7" t="n">
        <f aca="false">H275-IF(가정!$B$7=1,가정!$B$5,0)</f>
        <v>40740000</v>
      </c>
      <c r="J275" s="7" t="n">
        <f aca="false">MAX(0,I275)*가정!$B$6</f>
        <v>36666000</v>
      </c>
      <c r="K275" s="7" t="n">
        <f aca="false">가정!$B$5+J275</f>
        <v>40666000</v>
      </c>
      <c r="L275" s="7" t="n">
        <f aca="false">H275-K275</f>
        <v>4074000</v>
      </c>
      <c r="M275" s="8" t="n">
        <f aca="false">IF(B275=0,0,K275/B275)</f>
        <v>0.519361430395913</v>
      </c>
      <c r="N275" s="7" t="n">
        <f aca="false">K275/가정!$B$8</f>
        <v>203330</v>
      </c>
      <c r="O275" s="7" t="n">
        <f aca="false">IF(I275&gt;0,A275,"")</f>
        <v>270</v>
      </c>
      <c r="P275" s="7" t="n">
        <f aca="false">IF(L275&gt;=0,A275,"")</f>
        <v>270</v>
      </c>
      <c r="Q275" s="7" t="n">
        <f aca="false">IF(K275&gt;=가정!$B$32,A275,"")</f>
        <v>270</v>
      </c>
      <c r="R275" s="7" t="str">
        <f aca="false">IF(MAX(0,I275)*(1-가정!$B$6)*'1억 상환'!$B$6&gt;='1억 상환'!$B$5,A275,"")</f>
        <v/>
      </c>
    </row>
    <row r="276" customFormat="false" ht="15" hidden="false" customHeight="false" outlineLevel="0" collapsed="false">
      <c r="A276" s="7" t="n">
        <v>271</v>
      </c>
      <c r="B276" s="7" t="n">
        <f aca="false">A276*가정!$B$10</f>
        <v>78590000</v>
      </c>
      <c r="C276" s="7" t="n">
        <f aca="false">가정!$B$34</f>
        <v>3590000</v>
      </c>
      <c r="D276" s="7" t="n">
        <f aca="false">ROUNDUP(MAX(0,A276-가정!$B$18)/가정!$B$19,0)</f>
        <v>5</v>
      </c>
      <c r="E276" s="7" t="n">
        <f aca="false">D276*가정!$B$20+ROUNDUP(A276/가정!$B$22,0)*가정!$B$21+ROUNDUP(A276/가정!$B$24,0)*가정!$B$23</f>
        <v>29700000</v>
      </c>
      <c r="F276" s="7" t="n">
        <f aca="false">A276*가정!$B$26+B276*가정!$B$27</f>
        <v>271000</v>
      </c>
      <c r="G276" s="7" t="n">
        <f aca="false">B276*가정!$B$28</f>
        <v>0</v>
      </c>
      <c r="H276" s="7" t="n">
        <f aca="false">B276-C276-E276-F276-G276</f>
        <v>45029000</v>
      </c>
      <c r="I276" s="7" t="n">
        <f aca="false">H276-IF(가정!$B$7=1,가정!$B$5,0)</f>
        <v>41029000</v>
      </c>
      <c r="J276" s="7" t="n">
        <f aca="false">MAX(0,I276)*가정!$B$6</f>
        <v>36926100</v>
      </c>
      <c r="K276" s="7" t="n">
        <f aca="false">가정!$B$5+J276</f>
        <v>40926100</v>
      </c>
      <c r="L276" s="7" t="n">
        <f aca="false">H276-K276</f>
        <v>4102900</v>
      </c>
      <c r="M276" s="8" t="n">
        <f aca="false">IF(B276=0,0,K276/B276)</f>
        <v>0.5207545489248</v>
      </c>
      <c r="N276" s="7" t="n">
        <f aca="false">K276/가정!$B$8</f>
        <v>204630.5</v>
      </c>
      <c r="O276" s="7" t="n">
        <f aca="false">IF(I276&gt;0,A276,"")</f>
        <v>271</v>
      </c>
      <c r="P276" s="7" t="n">
        <f aca="false">IF(L276&gt;=0,A276,"")</f>
        <v>271</v>
      </c>
      <c r="Q276" s="7" t="n">
        <f aca="false">IF(K276&gt;=가정!$B$32,A276,"")</f>
        <v>271</v>
      </c>
      <c r="R276" s="7" t="str">
        <f aca="false">IF(MAX(0,I276)*(1-가정!$B$6)*'1억 상환'!$B$6&gt;='1억 상환'!$B$5,A276,"")</f>
        <v/>
      </c>
    </row>
    <row r="277" customFormat="false" ht="15" hidden="false" customHeight="false" outlineLevel="0" collapsed="false">
      <c r="A277" s="7" t="n">
        <v>272</v>
      </c>
      <c r="B277" s="7" t="n">
        <f aca="false">A277*가정!$B$10</f>
        <v>78880000</v>
      </c>
      <c r="C277" s="7" t="n">
        <f aca="false">가정!$B$34</f>
        <v>3590000</v>
      </c>
      <c r="D277" s="7" t="n">
        <f aca="false">ROUNDUP(MAX(0,A277-가정!$B$18)/가정!$B$19,0)</f>
        <v>5</v>
      </c>
      <c r="E277" s="7" t="n">
        <f aca="false">D277*가정!$B$20+ROUNDUP(A277/가정!$B$22,0)*가정!$B$21+ROUNDUP(A277/가정!$B$24,0)*가정!$B$23</f>
        <v>29700000</v>
      </c>
      <c r="F277" s="7" t="n">
        <f aca="false">A277*가정!$B$26+B277*가정!$B$27</f>
        <v>272000</v>
      </c>
      <c r="G277" s="7" t="n">
        <f aca="false">B277*가정!$B$28</f>
        <v>0</v>
      </c>
      <c r="H277" s="7" t="n">
        <f aca="false">B277-C277-E277-F277-G277</f>
        <v>45318000</v>
      </c>
      <c r="I277" s="7" t="n">
        <f aca="false">H277-IF(가정!$B$7=1,가정!$B$5,0)</f>
        <v>41318000</v>
      </c>
      <c r="J277" s="7" t="n">
        <f aca="false">MAX(0,I277)*가정!$B$6</f>
        <v>37186200</v>
      </c>
      <c r="K277" s="7" t="n">
        <f aca="false">가정!$B$5+J277</f>
        <v>41186200</v>
      </c>
      <c r="L277" s="7" t="n">
        <f aca="false">H277-K277</f>
        <v>4131800</v>
      </c>
      <c r="M277" s="8" t="n">
        <f aca="false">IF(B277=0,0,K277/B277)</f>
        <v>0.522137423935091</v>
      </c>
      <c r="N277" s="7" t="n">
        <f aca="false">K277/가정!$B$8</f>
        <v>205931</v>
      </c>
      <c r="O277" s="7" t="n">
        <f aca="false">IF(I277&gt;0,A277,"")</f>
        <v>272</v>
      </c>
      <c r="P277" s="7" t="n">
        <f aca="false">IF(L277&gt;=0,A277,"")</f>
        <v>272</v>
      </c>
      <c r="Q277" s="7" t="n">
        <f aca="false">IF(K277&gt;=가정!$B$32,A277,"")</f>
        <v>272</v>
      </c>
      <c r="R277" s="7" t="str">
        <f aca="false">IF(MAX(0,I277)*(1-가정!$B$6)*'1억 상환'!$B$6&gt;='1억 상환'!$B$5,A277,"")</f>
        <v/>
      </c>
    </row>
    <row r="278" customFormat="false" ht="15" hidden="false" customHeight="false" outlineLevel="0" collapsed="false">
      <c r="A278" s="7" t="n">
        <v>273</v>
      </c>
      <c r="B278" s="7" t="n">
        <f aca="false">A278*가정!$B$10</f>
        <v>79170000</v>
      </c>
      <c r="C278" s="7" t="n">
        <f aca="false">가정!$B$34</f>
        <v>3590000</v>
      </c>
      <c r="D278" s="7" t="n">
        <f aca="false">ROUNDUP(MAX(0,A278-가정!$B$18)/가정!$B$19,0)</f>
        <v>5</v>
      </c>
      <c r="E278" s="7" t="n">
        <f aca="false">D278*가정!$B$20+ROUNDUP(A278/가정!$B$22,0)*가정!$B$21+ROUNDUP(A278/가정!$B$24,0)*가정!$B$23</f>
        <v>29700000</v>
      </c>
      <c r="F278" s="7" t="n">
        <f aca="false">A278*가정!$B$26+B278*가정!$B$27</f>
        <v>273000</v>
      </c>
      <c r="G278" s="7" t="n">
        <f aca="false">B278*가정!$B$28</f>
        <v>0</v>
      </c>
      <c r="H278" s="7" t="n">
        <f aca="false">B278-C278-E278-F278-G278</f>
        <v>45607000</v>
      </c>
      <c r="I278" s="7" t="n">
        <f aca="false">H278-IF(가정!$B$7=1,가정!$B$5,0)</f>
        <v>41607000</v>
      </c>
      <c r="J278" s="7" t="n">
        <f aca="false">MAX(0,I278)*가정!$B$6</f>
        <v>37446300</v>
      </c>
      <c r="K278" s="7" t="n">
        <f aca="false">가정!$B$5+J278</f>
        <v>41446300</v>
      </c>
      <c r="L278" s="7" t="n">
        <f aca="false">H278-K278</f>
        <v>4160700</v>
      </c>
      <c r="M278" s="8" t="n">
        <f aca="false">IF(B278=0,0,K278/B278)</f>
        <v>0.523510167992927</v>
      </c>
      <c r="N278" s="7" t="n">
        <f aca="false">K278/가정!$B$8</f>
        <v>207231.5</v>
      </c>
      <c r="O278" s="7" t="n">
        <f aca="false">IF(I278&gt;0,A278,"")</f>
        <v>273</v>
      </c>
      <c r="P278" s="7" t="n">
        <f aca="false">IF(L278&gt;=0,A278,"")</f>
        <v>273</v>
      </c>
      <c r="Q278" s="7" t="n">
        <f aca="false">IF(K278&gt;=가정!$B$32,A278,"")</f>
        <v>273</v>
      </c>
      <c r="R278" s="7" t="str">
        <f aca="false">IF(MAX(0,I278)*(1-가정!$B$6)*'1억 상환'!$B$6&gt;='1억 상환'!$B$5,A278,"")</f>
        <v/>
      </c>
    </row>
    <row r="279" customFormat="false" ht="15" hidden="false" customHeight="false" outlineLevel="0" collapsed="false">
      <c r="A279" s="7" t="n">
        <v>274</v>
      </c>
      <c r="B279" s="7" t="n">
        <f aca="false">A279*가정!$B$10</f>
        <v>79460000</v>
      </c>
      <c r="C279" s="7" t="n">
        <f aca="false">가정!$B$34</f>
        <v>3590000</v>
      </c>
      <c r="D279" s="7" t="n">
        <f aca="false">ROUNDUP(MAX(0,A279-가정!$B$18)/가정!$B$19,0)</f>
        <v>5</v>
      </c>
      <c r="E279" s="7" t="n">
        <f aca="false">D279*가정!$B$20+ROUNDUP(A279/가정!$B$22,0)*가정!$B$21+ROUNDUP(A279/가정!$B$24,0)*가정!$B$23</f>
        <v>29700000</v>
      </c>
      <c r="F279" s="7" t="n">
        <f aca="false">A279*가정!$B$26+B279*가정!$B$27</f>
        <v>274000</v>
      </c>
      <c r="G279" s="7" t="n">
        <f aca="false">B279*가정!$B$28</f>
        <v>0</v>
      </c>
      <c r="H279" s="7" t="n">
        <f aca="false">B279-C279-E279-F279-G279</f>
        <v>45896000</v>
      </c>
      <c r="I279" s="7" t="n">
        <f aca="false">H279-IF(가정!$B$7=1,가정!$B$5,0)</f>
        <v>41896000</v>
      </c>
      <c r="J279" s="7" t="n">
        <f aca="false">MAX(0,I279)*가정!$B$6</f>
        <v>37706400</v>
      </c>
      <c r="K279" s="7" t="n">
        <f aca="false">가정!$B$5+J279</f>
        <v>41706400</v>
      </c>
      <c r="L279" s="7" t="n">
        <f aca="false">H279-K279</f>
        <v>4189600</v>
      </c>
      <c r="M279" s="8" t="n">
        <f aca="false">IF(B279=0,0,K279/B279)</f>
        <v>0.524872892021143</v>
      </c>
      <c r="N279" s="7" t="n">
        <f aca="false">K279/가정!$B$8</f>
        <v>208532</v>
      </c>
      <c r="O279" s="7" t="n">
        <f aca="false">IF(I279&gt;0,A279,"")</f>
        <v>274</v>
      </c>
      <c r="P279" s="7" t="n">
        <f aca="false">IF(L279&gt;=0,A279,"")</f>
        <v>274</v>
      </c>
      <c r="Q279" s="7" t="n">
        <f aca="false">IF(K279&gt;=가정!$B$32,A279,"")</f>
        <v>274</v>
      </c>
      <c r="R279" s="7" t="str">
        <f aca="false">IF(MAX(0,I279)*(1-가정!$B$6)*'1억 상환'!$B$6&gt;='1억 상환'!$B$5,A279,"")</f>
        <v/>
      </c>
    </row>
    <row r="280" customFormat="false" ht="15" hidden="false" customHeight="false" outlineLevel="0" collapsed="false">
      <c r="A280" s="7" t="n">
        <v>275</v>
      </c>
      <c r="B280" s="7" t="n">
        <f aca="false">A280*가정!$B$10</f>
        <v>79750000</v>
      </c>
      <c r="C280" s="7" t="n">
        <f aca="false">가정!$B$34</f>
        <v>3590000</v>
      </c>
      <c r="D280" s="7" t="n">
        <f aca="false">ROUNDUP(MAX(0,A280-가정!$B$18)/가정!$B$19,0)</f>
        <v>5</v>
      </c>
      <c r="E280" s="7" t="n">
        <f aca="false">D280*가정!$B$20+ROUNDUP(A280/가정!$B$22,0)*가정!$B$21+ROUNDUP(A280/가정!$B$24,0)*가정!$B$23</f>
        <v>29700000</v>
      </c>
      <c r="F280" s="7" t="n">
        <f aca="false">A280*가정!$B$26+B280*가정!$B$27</f>
        <v>275000</v>
      </c>
      <c r="G280" s="7" t="n">
        <f aca="false">B280*가정!$B$28</f>
        <v>0</v>
      </c>
      <c r="H280" s="7" t="n">
        <f aca="false">B280-C280-E280-F280-G280</f>
        <v>46185000</v>
      </c>
      <c r="I280" s="7" t="n">
        <f aca="false">H280-IF(가정!$B$7=1,가정!$B$5,0)</f>
        <v>42185000</v>
      </c>
      <c r="J280" s="7" t="n">
        <f aca="false">MAX(0,I280)*가정!$B$6</f>
        <v>37966500</v>
      </c>
      <c r="K280" s="7" t="n">
        <f aca="false">가정!$B$5+J280</f>
        <v>41966500</v>
      </c>
      <c r="L280" s="7" t="n">
        <f aca="false">H280-K280</f>
        <v>4218500</v>
      </c>
      <c r="M280" s="8" t="n">
        <f aca="false">IF(B280=0,0,K280/B280)</f>
        <v>0.526225705329154</v>
      </c>
      <c r="N280" s="7" t="n">
        <f aca="false">K280/가정!$B$8</f>
        <v>209832.5</v>
      </c>
      <c r="O280" s="7" t="n">
        <f aca="false">IF(I280&gt;0,A280,"")</f>
        <v>275</v>
      </c>
      <c r="P280" s="7" t="n">
        <f aca="false">IF(L280&gt;=0,A280,"")</f>
        <v>275</v>
      </c>
      <c r="Q280" s="7" t="n">
        <f aca="false">IF(K280&gt;=가정!$B$32,A280,"")</f>
        <v>275</v>
      </c>
      <c r="R280" s="7" t="str">
        <f aca="false">IF(MAX(0,I280)*(1-가정!$B$6)*'1억 상환'!$B$6&gt;='1억 상환'!$B$5,A280,"")</f>
        <v/>
      </c>
    </row>
    <row r="281" customFormat="false" ht="15" hidden="false" customHeight="false" outlineLevel="0" collapsed="false">
      <c r="A281" s="7" t="n">
        <v>276</v>
      </c>
      <c r="B281" s="7" t="n">
        <f aca="false">A281*가정!$B$10</f>
        <v>80040000</v>
      </c>
      <c r="C281" s="7" t="n">
        <f aca="false">가정!$B$34</f>
        <v>3590000</v>
      </c>
      <c r="D281" s="7" t="n">
        <f aca="false">ROUNDUP(MAX(0,A281-가정!$B$18)/가정!$B$19,0)</f>
        <v>5</v>
      </c>
      <c r="E281" s="7" t="n">
        <f aca="false">D281*가정!$B$20+ROUNDUP(A281/가정!$B$22,0)*가정!$B$21+ROUNDUP(A281/가정!$B$24,0)*가정!$B$23</f>
        <v>29700000</v>
      </c>
      <c r="F281" s="7" t="n">
        <f aca="false">A281*가정!$B$26+B281*가정!$B$27</f>
        <v>276000</v>
      </c>
      <c r="G281" s="7" t="n">
        <f aca="false">B281*가정!$B$28</f>
        <v>0</v>
      </c>
      <c r="H281" s="7" t="n">
        <f aca="false">B281-C281-E281-F281-G281</f>
        <v>46474000</v>
      </c>
      <c r="I281" s="7" t="n">
        <f aca="false">H281-IF(가정!$B$7=1,가정!$B$5,0)</f>
        <v>42474000</v>
      </c>
      <c r="J281" s="7" t="n">
        <f aca="false">MAX(0,I281)*가정!$B$6</f>
        <v>38226600</v>
      </c>
      <c r="K281" s="7" t="n">
        <f aca="false">가정!$B$5+J281</f>
        <v>42226600</v>
      </c>
      <c r="L281" s="7" t="n">
        <f aca="false">H281-K281</f>
        <v>4247400</v>
      </c>
      <c r="M281" s="8" t="n">
        <f aca="false">IF(B281=0,0,K281/B281)</f>
        <v>0.527568715642179</v>
      </c>
      <c r="N281" s="7" t="n">
        <f aca="false">K281/가정!$B$8</f>
        <v>211133</v>
      </c>
      <c r="O281" s="7" t="n">
        <f aca="false">IF(I281&gt;0,A281,"")</f>
        <v>276</v>
      </c>
      <c r="P281" s="7" t="n">
        <f aca="false">IF(L281&gt;=0,A281,"")</f>
        <v>276</v>
      </c>
      <c r="Q281" s="7" t="n">
        <f aca="false">IF(K281&gt;=가정!$B$32,A281,"")</f>
        <v>276</v>
      </c>
      <c r="R281" s="7" t="str">
        <f aca="false">IF(MAX(0,I281)*(1-가정!$B$6)*'1억 상환'!$B$6&gt;='1억 상환'!$B$5,A281,"")</f>
        <v/>
      </c>
    </row>
    <row r="282" customFormat="false" ht="15" hidden="false" customHeight="false" outlineLevel="0" collapsed="false">
      <c r="A282" s="7" t="n">
        <v>277</v>
      </c>
      <c r="B282" s="7" t="n">
        <f aca="false">A282*가정!$B$10</f>
        <v>80330000</v>
      </c>
      <c r="C282" s="7" t="n">
        <f aca="false">가정!$B$34</f>
        <v>3590000</v>
      </c>
      <c r="D282" s="7" t="n">
        <f aca="false">ROUNDUP(MAX(0,A282-가정!$B$18)/가정!$B$19,0)</f>
        <v>5</v>
      </c>
      <c r="E282" s="7" t="n">
        <f aca="false">D282*가정!$B$20+ROUNDUP(A282/가정!$B$22,0)*가정!$B$21+ROUNDUP(A282/가정!$B$24,0)*가정!$B$23</f>
        <v>29700000</v>
      </c>
      <c r="F282" s="7" t="n">
        <f aca="false">A282*가정!$B$26+B282*가정!$B$27</f>
        <v>277000</v>
      </c>
      <c r="G282" s="7" t="n">
        <f aca="false">B282*가정!$B$28</f>
        <v>0</v>
      </c>
      <c r="H282" s="7" t="n">
        <f aca="false">B282-C282-E282-F282-G282</f>
        <v>46763000</v>
      </c>
      <c r="I282" s="7" t="n">
        <f aca="false">H282-IF(가정!$B$7=1,가정!$B$5,0)</f>
        <v>42763000</v>
      </c>
      <c r="J282" s="7" t="n">
        <f aca="false">MAX(0,I282)*가정!$B$6</f>
        <v>38486700</v>
      </c>
      <c r="K282" s="7" t="n">
        <f aca="false">가정!$B$5+J282</f>
        <v>42486700</v>
      </c>
      <c r="L282" s="7" t="n">
        <f aca="false">H282-K282</f>
        <v>4276300</v>
      </c>
      <c r="M282" s="8" t="n">
        <f aca="false">IF(B282=0,0,K282/B282)</f>
        <v>0.528902029129839</v>
      </c>
      <c r="N282" s="7" t="n">
        <f aca="false">K282/가정!$B$8</f>
        <v>212433.5</v>
      </c>
      <c r="O282" s="7" t="n">
        <f aca="false">IF(I282&gt;0,A282,"")</f>
        <v>277</v>
      </c>
      <c r="P282" s="7" t="n">
        <f aca="false">IF(L282&gt;=0,A282,"")</f>
        <v>277</v>
      </c>
      <c r="Q282" s="7" t="n">
        <f aca="false">IF(K282&gt;=가정!$B$32,A282,"")</f>
        <v>277</v>
      </c>
      <c r="R282" s="7" t="str">
        <f aca="false">IF(MAX(0,I282)*(1-가정!$B$6)*'1억 상환'!$B$6&gt;='1억 상환'!$B$5,A282,"")</f>
        <v/>
      </c>
    </row>
    <row r="283" customFormat="false" ht="15" hidden="false" customHeight="false" outlineLevel="0" collapsed="false">
      <c r="A283" s="7" t="n">
        <v>278</v>
      </c>
      <c r="B283" s="7" t="n">
        <f aca="false">A283*가정!$B$10</f>
        <v>80620000</v>
      </c>
      <c r="C283" s="7" t="n">
        <f aca="false">가정!$B$34</f>
        <v>3590000</v>
      </c>
      <c r="D283" s="7" t="n">
        <f aca="false">ROUNDUP(MAX(0,A283-가정!$B$18)/가정!$B$19,0)</f>
        <v>5</v>
      </c>
      <c r="E283" s="7" t="n">
        <f aca="false">D283*가정!$B$20+ROUNDUP(A283/가정!$B$22,0)*가정!$B$21+ROUNDUP(A283/가정!$B$24,0)*가정!$B$23</f>
        <v>29700000</v>
      </c>
      <c r="F283" s="7" t="n">
        <f aca="false">A283*가정!$B$26+B283*가정!$B$27</f>
        <v>278000</v>
      </c>
      <c r="G283" s="7" t="n">
        <f aca="false">B283*가정!$B$28</f>
        <v>0</v>
      </c>
      <c r="H283" s="7" t="n">
        <f aca="false">B283-C283-E283-F283-G283</f>
        <v>47052000</v>
      </c>
      <c r="I283" s="7" t="n">
        <f aca="false">H283-IF(가정!$B$7=1,가정!$B$5,0)</f>
        <v>43052000</v>
      </c>
      <c r="J283" s="7" t="n">
        <f aca="false">MAX(0,I283)*가정!$B$6</f>
        <v>38746800</v>
      </c>
      <c r="K283" s="7" t="n">
        <f aca="false">가정!$B$5+J283</f>
        <v>42746800</v>
      </c>
      <c r="L283" s="7" t="n">
        <f aca="false">H283-K283</f>
        <v>4305200</v>
      </c>
      <c r="M283" s="8" t="n">
        <f aca="false">IF(B283=0,0,K283/B283)</f>
        <v>0.530225750434135</v>
      </c>
      <c r="N283" s="7" t="n">
        <f aca="false">K283/가정!$B$8</f>
        <v>213734</v>
      </c>
      <c r="O283" s="7" t="n">
        <f aca="false">IF(I283&gt;0,A283,"")</f>
        <v>278</v>
      </c>
      <c r="P283" s="7" t="n">
        <f aca="false">IF(L283&gt;=0,A283,"")</f>
        <v>278</v>
      </c>
      <c r="Q283" s="7" t="n">
        <f aca="false">IF(K283&gt;=가정!$B$32,A283,"")</f>
        <v>278</v>
      </c>
      <c r="R283" s="7" t="str">
        <f aca="false">IF(MAX(0,I283)*(1-가정!$B$6)*'1억 상환'!$B$6&gt;='1억 상환'!$B$5,A283,"")</f>
        <v/>
      </c>
    </row>
    <row r="284" customFormat="false" ht="15" hidden="false" customHeight="false" outlineLevel="0" collapsed="false">
      <c r="A284" s="7" t="n">
        <v>279</v>
      </c>
      <c r="B284" s="7" t="n">
        <f aca="false">A284*가정!$B$10</f>
        <v>80910000</v>
      </c>
      <c r="C284" s="7" t="n">
        <f aca="false">가정!$B$34</f>
        <v>3590000</v>
      </c>
      <c r="D284" s="7" t="n">
        <f aca="false">ROUNDUP(MAX(0,A284-가정!$B$18)/가정!$B$19,0)</f>
        <v>5</v>
      </c>
      <c r="E284" s="7" t="n">
        <f aca="false">D284*가정!$B$20+ROUNDUP(A284/가정!$B$22,0)*가정!$B$21+ROUNDUP(A284/가정!$B$24,0)*가정!$B$23</f>
        <v>29700000</v>
      </c>
      <c r="F284" s="7" t="n">
        <f aca="false">A284*가정!$B$26+B284*가정!$B$27</f>
        <v>279000</v>
      </c>
      <c r="G284" s="7" t="n">
        <f aca="false">B284*가정!$B$28</f>
        <v>0</v>
      </c>
      <c r="H284" s="7" t="n">
        <f aca="false">B284-C284-E284-F284-G284</f>
        <v>47341000</v>
      </c>
      <c r="I284" s="7" t="n">
        <f aca="false">H284-IF(가정!$B$7=1,가정!$B$5,0)</f>
        <v>43341000</v>
      </c>
      <c r="J284" s="7" t="n">
        <f aca="false">MAX(0,I284)*가정!$B$6</f>
        <v>39006900</v>
      </c>
      <c r="K284" s="7" t="n">
        <f aca="false">가정!$B$5+J284</f>
        <v>43006900</v>
      </c>
      <c r="L284" s="7" t="n">
        <f aca="false">H284-K284</f>
        <v>4334100</v>
      </c>
      <c r="M284" s="8" t="n">
        <f aca="false">IF(B284=0,0,K284/B284)</f>
        <v>0.531539982696824</v>
      </c>
      <c r="N284" s="7" t="n">
        <f aca="false">K284/가정!$B$8</f>
        <v>215034.5</v>
      </c>
      <c r="O284" s="7" t="n">
        <f aca="false">IF(I284&gt;0,A284,"")</f>
        <v>279</v>
      </c>
      <c r="P284" s="7" t="n">
        <f aca="false">IF(L284&gt;=0,A284,"")</f>
        <v>279</v>
      </c>
      <c r="Q284" s="7" t="n">
        <f aca="false">IF(K284&gt;=가정!$B$32,A284,"")</f>
        <v>279</v>
      </c>
      <c r="R284" s="7" t="str">
        <f aca="false">IF(MAX(0,I284)*(1-가정!$B$6)*'1억 상환'!$B$6&gt;='1억 상환'!$B$5,A284,"")</f>
        <v/>
      </c>
    </row>
    <row r="285" customFormat="false" ht="15" hidden="false" customHeight="false" outlineLevel="0" collapsed="false">
      <c r="A285" s="7" t="n">
        <v>280</v>
      </c>
      <c r="B285" s="7" t="n">
        <f aca="false">A285*가정!$B$10</f>
        <v>81200000</v>
      </c>
      <c r="C285" s="7" t="n">
        <f aca="false">가정!$B$34</f>
        <v>3590000</v>
      </c>
      <c r="D285" s="7" t="n">
        <f aca="false">ROUNDUP(MAX(0,A285-가정!$B$18)/가정!$B$19,0)</f>
        <v>5</v>
      </c>
      <c r="E285" s="7" t="n">
        <f aca="false">D285*가정!$B$20+ROUNDUP(A285/가정!$B$22,0)*가정!$B$21+ROUNDUP(A285/가정!$B$24,0)*가정!$B$23</f>
        <v>29700000</v>
      </c>
      <c r="F285" s="7" t="n">
        <f aca="false">A285*가정!$B$26+B285*가정!$B$27</f>
        <v>280000</v>
      </c>
      <c r="G285" s="7" t="n">
        <f aca="false">B285*가정!$B$28</f>
        <v>0</v>
      </c>
      <c r="H285" s="7" t="n">
        <f aca="false">B285-C285-E285-F285-G285</f>
        <v>47630000</v>
      </c>
      <c r="I285" s="7" t="n">
        <f aca="false">H285-IF(가정!$B$7=1,가정!$B$5,0)</f>
        <v>43630000</v>
      </c>
      <c r="J285" s="7" t="n">
        <f aca="false">MAX(0,I285)*가정!$B$6</f>
        <v>39267000</v>
      </c>
      <c r="K285" s="7" t="n">
        <f aca="false">가정!$B$5+J285</f>
        <v>43267000</v>
      </c>
      <c r="L285" s="7" t="n">
        <f aca="false">H285-K285</f>
        <v>4363000</v>
      </c>
      <c r="M285" s="8" t="n">
        <f aca="false">IF(B285=0,0,K285/B285)</f>
        <v>0.532844827586207</v>
      </c>
      <c r="N285" s="7" t="n">
        <f aca="false">K285/가정!$B$8</f>
        <v>216335</v>
      </c>
      <c r="O285" s="7" t="n">
        <f aca="false">IF(I285&gt;0,A285,"")</f>
        <v>280</v>
      </c>
      <c r="P285" s="7" t="n">
        <f aca="false">IF(L285&gt;=0,A285,"")</f>
        <v>280</v>
      </c>
      <c r="Q285" s="7" t="n">
        <f aca="false">IF(K285&gt;=가정!$B$32,A285,"")</f>
        <v>280</v>
      </c>
      <c r="R285" s="7" t="str">
        <f aca="false">IF(MAX(0,I285)*(1-가정!$B$6)*'1억 상환'!$B$6&gt;='1억 상환'!$B$5,A285,"")</f>
        <v/>
      </c>
    </row>
    <row r="286" customFormat="false" ht="15" hidden="false" customHeight="false" outlineLevel="0" collapsed="false">
      <c r="A286" s="7" t="n">
        <v>281</v>
      </c>
      <c r="B286" s="7" t="n">
        <f aca="false">A286*가정!$B$10</f>
        <v>81490000</v>
      </c>
      <c r="C286" s="7" t="n">
        <f aca="false">가정!$B$34</f>
        <v>3590000</v>
      </c>
      <c r="D286" s="7" t="n">
        <f aca="false">ROUNDUP(MAX(0,A286-가정!$B$18)/가정!$B$19,0)</f>
        <v>5</v>
      </c>
      <c r="E286" s="7" t="n">
        <f aca="false">D286*가정!$B$20+ROUNDUP(A286/가정!$B$22,0)*가정!$B$21+ROUNDUP(A286/가정!$B$24,0)*가정!$B$23</f>
        <v>29700000</v>
      </c>
      <c r="F286" s="7" t="n">
        <f aca="false">A286*가정!$B$26+B286*가정!$B$27</f>
        <v>281000</v>
      </c>
      <c r="G286" s="7" t="n">
        <f aca="false">B286*가정!$B$28</f>
        <v>0</v>
      </c>
      <c r="H286" s="7" t="n">
        <f aca="false">B286-C286-E286-F286-G286</f>
        <v>47919000</v>
      </c>
      <c r="I286" s="7" t="n">
        <f aca="false">H286-IF(가정!$B$7=1,가정!$B$5,0)</f>
        <v>43919000</v>
      </c>
      <c r="J286" s="7" t="n">
        <f aca="false">MAX(0,I286)*가정!$B$6</f>
        <v>39527100</v>
      </c>
      <c r="K286" s="7" t="n">
        <f aca="false">가정!$B$5+J286</f>
        <v>43527100</v>
      </c>
      <c r="L286" s="7" t="n">
        <f aca="false">H286-K286</f>
        <v>4391900</v>
      </c>
      <c r="M286" s="8" t="n">
        <f aca="false">IF(B286=0,0,K286/B286)</f>
        <v>0.534140385323353</v>
      </c>
      <c r="N286" s="7" t="n">
        <f aca="false">K286/가정!$B$8</f>
        <v>217635.5</v>
      </c>
      <c r="O286" s="7" t="n">
        <f aca="false">IF(I286&gt;0,A286,"")</f>
        <v>281</v>
      </c>
      <c r="P286" s="7" t="n">
        <f aca="false">IF(L286&gt;=0,A286,"")</f>
        <v>281</v>
      </c>
      <c r="Q286" s="7" t="n">
        <f aca="false">IF(K286&gt;=가정!$B$32,A286,"")</f>
        <v>281</v>
      </c>
      <c r="R286" s="7" t="str">
        <f aca="false">IF(MAX(0,I286)*(1-가정!$B$6)*'1억 상환'!$B$6&gt;='1억 상환'!$B$5,A286,"")</f>
        <v/>
      </c>
    </row>
    <row r="287" customFormat="false" ht="15" hidden="false" customHeight="false" outlineLevel="0" collapsed="false">
      <c r="A287" s="7" t="n">
        <v>282</v>
      </c>
      <c r="B287" s="7" t="n">
        <f aca="false">A287*가정!$B$10</f>
        <v>81780000</v>
      </c>
      <c r="C287" s="7" t="n">
        <f aca="false">가정!$B$34</f>
        <v>3590000</v>
      </c>
      <c r="D287" s="7" t="n">
        <f aca="false">ROUNDUP(MAX(0,A287-가정!$B$18)/가정!$B$19,0)</f>
        <v>5</v>
      </c>
      <c r="E287" s="7" t="n">
        <f aca="false">D287*가정!$B$20+ROUNDUP(A287/가정!$B$22,0)*가정!$B$21+ROUNDUP(A287/가정!$B$24,0)*가정!$B$23</f>
        <v>29700000</v>
      </c>
      <c r="F287" s="7" t="n">
        <f aca="false">A287*가정!$B$26+B287*가정!$B$27</f>
        <v>282000</v>
      </c>
      <c r="G287" s="7" t="n">
        <f aca="false">B287*가정!$B$28</f>
        <v>0</v>
      </c>
      <c r="H287" s="7" t="n">
        <f aca="false">B287-C287-E287-F287-G287</f>
        <v>48208000</v>
      </c>
      <c r="I287" s="7" t="n">
        <f aca="false">H287-IF(가정!$B$7=1,가정!$B$5,0)</f>
        <v>44208000</v>
      </c>
      <c r="J287" s="7" t="n">
        <f aca="false">MAX(0,I287)*가정!$B$6</f>
        <v>39787200</v>
      </c>
      <c r="K287" s="7" t="n">
        <f aca="false">가정!$B$5+J287</f>
        <v>43787200</v>
      </c>
      <c r="L287" s="7" t="n">
        <f aca="false">H287-K287</f>
        <v>4420800</v>
      </c>
      <c r="M287" s="8" t="n">
        <f aca="false">IF(B287=0,0,K287/B287)</f>
        <v>0.535426754707753</v>
      </c>
      <c r="N287" s="7" t="n">
        <f aca="false">K287/가정!$B$8</f>
        <v>218936</v>
      </c>
      <c r="O287" s="7" t="n">
        <f aca="false">IF(I287&gt;0,A287,"")</f>
        <v>282</v>
      </c>
      <c r="P287" s="7" t="n">
        <f aca="false">IF(L287&gt;=0,A287,"")</f>
        <v>282</v>
      </c>
      <c r="Q287" s="7" t="n">
        <f aca="false">IF(K287&gt;=가정!$B$32,A287,"")</f>
        <v>282</v>
      </c>
      <c r="R287" s="7" t="str">
        <f aca="false">IF(MAX(0,I287)*(1-가정!$B$6)*'1억 상환'!$B$6&gt;='1억 상환'!$B$5,A287,"")</f>
        <v/>
      </c>
    </row>
    <row r="288" customFormat="false" ht="15" hidden="false" customHeight="false" outlineLevel="0" collapsed="false">
      <c r="A288" s="7" t="n">
        <v>283</v>
      </c>
      <c r="B288" s="7" t="n">
        <f aca="false">A288*가정!$B$10</f>
        <v>82070000</v>
      </c>
      <c r="C288" s="7" t="n">
        <f aca="false">가정!$B$34</f>
        <v>3590000</v>
      </c>
      <c r="D288" s="7" t="n">
        <f aca="false">ROUNDUP(MAX(0,A288-가정!$B$18)/가정!$B$19,0)</f>
        <v>5</v>
      </c>
      <c r="E288" s="7" t="n">
        <f aca="false">D288*가정!$B$20+ROUNDUP(A288/가정!$B$22,0)*가정!$B$21+ROUNDUP(A288/가정!$B$24,0)*가정!$B$23</f>
        <v>29700000</v>
      </c>
      <c r="F288" s="7" t="n">
        <f aca="false">A288*가정!$B$26+B288*가정!$B$27</f>
        <v>283000</v>
      </c>
      <c r="G288" s="7" t="n">
        <f aca="false">B288*가정!$B$28</f>
        <v>0</v>
      </c>
      <c r="H288" s="7" t="n">
        <f aca="false">B288-C288-E288-F288-G288</f>
        <v>48497000</v>
      </c>
      <c r="I288" s="7" t="n">
        <f aca="false">H288-IF(가정!$B$7=1,가정!$B$5,0)</f>
        <v>44497000</v>
      </c>
      <c r="J288" s="7" t="n">
        <f aca="false">MAX(0,I288)*가정!$B$6</f>
        <v>40047300</v>
      </c>
      <c r="K288" s="7" t="n">
        <f aca="false">가정!$B$5+J288</f>
        <v>44047300</v>
      </c>
      <c r="L288" s="7" t="n">
        <f aca="false">H288-K288</f>
        <v>4449700</v>
      </c>
      <c r="M288" s="8" t="n">
        <f aca="false">IF(B288=0,0,K288/B288)</f>
        <v>0.536704033142439</v>
      </c>
      <c r="N288" s="7" t="n">
        <f aca="false">K288/가정!$B$8</f>
        <v>220236.5</v>
      </c>
      <c r="O288" s="7" t="n">
        <f aca="false">IF(I288&gt;0,A288,"")</f>
        <v>283</v>
      </c>
      <c r="P288" s="7" t="n">
        <f aca="false">IF(L288&gt;=0,A288,"")</f>
        <v>283</v>
      </c>
      <c r="Q288" s="7" t="n">
        <f aca="false">IF(K288&gt;=가정!$B$32,A288,"")</f>
        <v>283</v>
      </c>
      <c r="R288" s="7" t="str">
        <f aca="false">IF(MAX(0,I288)*(1-가정!$B$6)*'1억 상환'!$B$6&gt;='1억 상환'!$B$5,A288,"")</f>
        <v/>
      </c>
    </row>
    <row r="289" customFormat="false" ht="15" hidden="false" customHeight="false" outlineLevel="0" collapsed="false">
      <c r="A289" s="7" t="n">
        <v>284</v>
      </c>
      <c r="B289" s="7" t="n">
        <f aca="false">A289*가정!$B$10</f>
        <v>82360000</v>
      </c>
      <c r="C289" s="7" t="n">
        <f aca="false">가정!$B$34</f>
        <v>3590000</v>
      </c>
      <c r="D289" s="7" t="n">
        <f aca="false">ROUNDUP(MAX(0,A289-가정!$B$18)/가정!$B$19,0)</f>
        <v>5</v>
      </c>
      <c r="E289" s="7" t="n">
        <f aca="false">D289*가정!$B$20+ROUNDUP(A289/가정!$B$22,0)*가정!$B$21+ROUNDUP(A289/가정!$B$24,0)*가정!$B$23</f>
        <v>29700000</v>
      </c>
      <c r="F289" s="7" t="n">
        <f aca="false">A289*가정!$B$26+B289*가정!$B$27</f>
        <v>284000</v>
      </c>
      <c r="G289" s="7" t="n">
        <f aca="false">B289*가정!$B$28</f>
        <v>0</v>
      </c>
      <c r="H289" s="7" t="n">
        <f aca="false">B289-C289-E289-F289-G289</f>
        <v>48786000</v>
      </c>
      <c r="I289" s="7" t="n">
        <f aca="false">H289-IF(가정!$B$7=1,가정!$B$5,0)</f>
        <v>44786000</v>
      </c>
      <c r="J289" s="7" t="n">
        <f aca="false">MAX(0,I289)*가정!$B$6</f>
        <v>40307400</v>
      </c>
      <c r="K289" s="7" t="n">
        <f aca="false">가정!$B$5+J289</f>
        <v>44307400</v>
      </c>
      <c r="L289" s="7" t="n">
        <f aca="false">H289-K289</f>
        <v>4478600</v>
      </c>
      <c r="M289" s="8" t="n">
        <f aca="false">IF(B289=0,0,K289/B289)</f>
        <v>0.537972316658572</v>
      </c>
      <c r="N289" s="7" t="n">
        <f aca="false">K289/가정!$B$8</f>
        <v>221537</v>
      </c>
      <c r="O289" s="7" t="n">
        <f aca="false">IF(I289&gt;0,A289,"")</f>
        <v>284</v>
      </c>
      <c r="P289" s="7" t="n">
        <f aca="false">IF(L289&gt;=0,A289,"")</f>
        <v>284</v>
      </c>
      <c r="Q289" s="7" t="n">
        <f aca="false">IF(K289&gt;=가정!$B$32,A289,"")</f>
        <v>284</v>
      </c>
      <c r="R289" s="7" t="str">
        <f aca="false">IF(MAX(0,I289)*(1-가정!$B$6)*'1억 상환'!$B$6&gt;='1억 상환'!$B$5,A289,"")</f>
        <v/>
      </c>
    </row>
    <row r="290" customFormat="false" ht="15" hidden="false" customHeight="false" outlineLevel="0" collapsed="false">
      <c r="A290" s="7" t="n">
        <v>285</v>
      </c>
      <c r="B290" s="7" t="n">
        <f aca="false">A290*가정!$B$10</f>
        <v>82650000</v>
      </c>
      <c r="C290" s="7" t="n">
        <f aca="false">가정!$B$34</f>
        <v>3590000</v>
      </c>
      <c r="D290" s="7" t="n">
        <f aca="false">ROUNDUP(MAX(0,A290-가정!$B$18)/가정!$B$19,0)</f>
        <v>5</v>
      </c>
      <c r="E290" s="7" t="n">
        <f aca="false">D290*가정!$B$20+ROUNDUP(A290/가정!$B$22,0)*가정!$B$21+ROUNDUP(A290/가정!$B$24,0)*가정!$B$23</f>
        <v>29700000</v>
      </c>
      <c r="F290" s="7" t="n">
        <f aca="false">A290*가정!$B$26+B290*가정!$B$27</f>
        <v>285000</v>
      </c>
      <c r="G290" s="7" t="n">
        <f aca="false">B290*가정!$B$28</f>
        <v>0</v>
      </c>
      <c r="H290" s="7" t="n">
        <f aca="false">B290-C290-E290-F290-G290</f>
        <v>49075000</v>
      </c>
      <c r="I290" s="7" t="n">
        <f aca="false">H290-IF(가정!$B$7=1,가정!$B$5,0)</f>
        <v>45075000</v>
      </c>
      <c r="J290" s="7" t="n">
        <f aca="false">MAX(0,I290)*가정!$B$6</f>
        <v>40567500</v>
      </c>
      <c r="K290" s="7" t="n">
        <f aca="false">가정!$B$5+J290</f>
        <v>44567500</v>
      </c>
      <c r="L290" s="7" t="n">
        <f aca="false">H290-K290</f>
        <v>4507500</v>
      </c>
      <c r="M290" s="8" t="n">
        <f aca="false">IF(B290=0,0,K290/B290)</f>
        <v>0.539231699939504</v>
      </c>
      <c r="N290" s="7" t="n">
        <f aca="false">K290/가정!$B$8</f>
        <v>222837.5</v>
      </c>
      <c r="O290" s="7" t="n">
        <f aca="false">IF(I290&gt;0,A290,"")</f>
        <v>285</v>
      </c>
      <c r="P290" s="7" t="n">
        <f aca="false">IF(L290&gt;=0,A290,"")</f>
        <v>285</v>
      </c>
      <c r="Q290" s="7" t="n">
        <f aca="false">IF(K290&gt;=가정!$B$32,A290,"")</f>
        <v>285</v>
      </c>
      <c r="R290" s="7" t="str">
        <f aca="false">IF(MAX(0,I290)*(1-가정!$B$6)*'1억 상환'!$B$6&gt;='1억 상환'!$B$5,A290,"")</f>
        <v/>
      </c>
    </row>
    <row r="291" customFormat="false" ht="15" hidden="false" customHeight="false" outlineLevel="0" collapsed="false">
      <c r="A291" s="7" t="n">
        <v>286</v>
      </c>
      <c r="B291" s="7" t="n">
        <f aca="false">A291*가정!$B$10</f>
        <v>82940000</v>
      </c>
      <c r="C291" s="7" t="n">
        <f aca="false">가정!$B$34</f>
        <v>3590000</v>
      </c>
      <c r="D291" s="7" t="n">
        <f aca="false">ROUNDUP(MAX(0,A291-가정!$B$18)/가정!$B$19,0)</f>
        <v>5</v>
      </c>
      <c r="E291" s="7" t="n">
        <f aca="false">D291*가정!$B$20+ROUNDUP(A291/가정!$B$22,0)*가정!$B$21+ROUNDUP(A291/가정!$B$24,0)*가정!$B$23</f>
        <v>29700000</v>
      </c>
      <c r="F291" s="7" t="n">
        <f aca="false">A291*가정!$B$26+B291*가정!$B$27</f>
        <v>286000</v>
      </c>
      <c r="G291" s="7" t="n">
        <f aca="false">B291*가정!$B$28</f>
        <v>0</v>
      </c>
      <c r="H291" s="7" t="n">
        <f aca="false">B291-C291-E291-F291-G291</f>
        <v>49364000</v>
      </c>
      <c r="I291" s="7" t="n">
        <f aca="false">H291-IF(가정!$B$7=1,가정!$B$5,0)</f>
        <v>45364000</v>
      </c>
      <c r="J291" s="7" t="n">
        <f aca="false">MAX(0,I291)*가정!$B$6</f>
        <v>40827600</v>
      </c>
      <c r="K291" s="7" t="n">
        <f aca="false">가정!$B$5+J291</f>
        <v>44827600</v>
      </c>
      <c r="L291" s="7" t="n">
        <f aca="false">H291-K291</f>
        <v>4536400</v>
      </c>
      <c r="M291" s="8" t="n">
        <f aca="false">IF(B291=0,0,K291/B291)</f>
        <v>0.540482276344345</v>
      </c>
      <c r="N291" s="7" t="n">
        <f aca="false">K291/가정!$B$8</f>
        <v>224138</v>
      </c>
      <c r="O291" s="7" t="n">
        <f aca="false">IF(I291&gt;0,A291,"")</f>
        <v>286</v>
      </c>
      <c r="P291" s="7" t="n">
        <f aca="false">IF(L291&gt;=0,A291,"")</f>
        <v>286</v>
      </c>
      <c r="Q291" s="7" t="n">
        <f aca="false">IF(K291&gt;=가정!$B$32,A291,"")</f>
        <v>286</v>
      </c>
      <c r="R291" s="7" t="str">
        <f aca="false">IF(MAX(0,I291)*(1-가정!$B$6)*'1억 상환'!$B$6&gt;='1억 상환'!$B$5,A291,"")</f>
        <v/>
      </c>
    </row>
    <row r="292" customFormat="false" ht="15" hidden="false" customHeight="false" outlineLevel="0" collapsed="false">
      <c r="A292" s="7" t="n">
        <v>287</v>
      </c>
      <c r="B292" s="7" t="n">
        <f aca="false">A292*가정!$B$10</f>
        <v>83230000</v>
      </c>
      <c r="C292" s="7" t="n">
        <f aca="false">가정!$B$34</f>
        <v>3590000</v>
      </c>
      <c r="D292" s="7" t="n">
        <f aca="false">ROUNDUP(MAX(0,A292-가정!$B$18)/가정!$B$19,0)</f>
        <v>5</v>
      </c>
      <c r="E292" s="7" t="n">
        <f aca="false">D292*가정!$B$20+ROUNDUP(A292/가정!$B$22,0)*가정!$B$21+ROUNDUP(A292/가정!$B$24,0)*가정!$B$23</f>
        <v>29700000</v>
      </c>
      <c r="F292" s="7" t="n">
        <f aca="false">A292*가정!$B$26+B292*가정!$B$27</f>
        <v>287000</v>
      </c>
      <c r="G292" s="7" t="n">
        <f aca="false">B292*가정!$B$28</f>
        <v>0</v>
      </c>
      <c r="H292" s="7" t="n">
        <f aca="false">B292-C292-E292-F292-G292</f>
        <v>49653000</v>
      </c>
      <c r="I292" s="7" t="n">
        <f aca="false">H292-IF(가정!$B$7=1,가정!$B$5,0)</f>
        <v>45653000</v>
      </c>
      <c r="J292" s="7" t="n">
        <f aca="false">MAX(0,I292)*가정!$B$6</f>
        <v>41087700</v>
      </c>
      <c r="K292" s="7" t="n">
        <f aca="false">가정!$B$5+J292</f>
        <v>45087700</v>
      </c>
      <c r="L292" s="7" t="n">
        <f aca="false">H292-K292</f>
        <v>4565300</v>
      </c>
      <c r="M292" s="8" t="n">
        <f aca="false">IF(B292=0,0,K292/B292)</f>
        <v>0.541724137931035</v>
      </c>
      <c r="N292" s="7" t="n">
        <f aca="false">K292/가정!$B$8</f>
        <v>225438.5</v>
      </c>
      <c r="O292" s="7" t="n">
        <f aca="false">IF(I292&gt;0,A292,"")</f>
        <v>287</v>
      </c>
      <c r="P292" s="7" t="n">
        <f aca="false">IF(L292&gt;=0,A292,"")</f>
        <v>287</v>
      </c>
      <c r="Q292" s="7" t="n">
        <f aca="false">IF(K292&gt;=가정!$B$32,A292,"")</f>
        <v>287</v>
      </c>
      <c r="R292" s="7" t="str">
        <f aca="false">IF(MAX(0,I292)*(1-가정!$B$6)*'1억 상환'!$B$6&gt;='1억 상환'!$B$5,A292,"")</f>
        <v/>
      </c>
    </row>
    <row r="293" customFormat="false" ht="15" hidden="false" customHeight="false" outlineLevel="0" collapsed="false">
      <c r="A293" s="7" t="n">
        <v>288</v>
      </c>
      <c r="B293" s="7" t="n">
        <f aca="false">A293*가정!$B$10</f>
        <v>83520000</v>
      </c>
      <c r="C293" s="7" t="n">
        <f aca="false">가정!$B$34</f>
        <v>3590000</v>
      </c>
      <c r="D293" s="7" t="n">
        <f aca="false">ROUNDUP(MAX(0,A293-가정!$B$18)/가정!$B$19,0)</f>
        <v>5</v>
      </c>
      <c r="E293" s="7" t="n">
        <f aca="false">D293*가정!$B$20+ROUNDUP(A293/가정!$B$22,0)*가정!$B$21+ROUNDUP(A293/가정!$B$24,0)*가정!$B$23</f>
        <v>29700000</v>
      </c>
      <c r="F293" s="7" t="n">
        <f aca="false">A293*가정!$B$26+B293*가정!$B$27</f>
        <v>288000</v>
      </c>
      <c r="G293" s="7" t="n">
        <f aca="false">B293*가정!$B$28</f>
        <v>0</v>
      </c>
      <c r="H293" s="7" t="n">
        <f aca="false">B293-C293-E293-F293-G293</f>
        <v>49942000</v>
      </c>
      <c r="I293" s="7" t="n">
        <f aca="false">H293-IF(가정!$B$7=1,가정!$B$5,0)</f>
        <v>45942000</v>
      </c>
      <c r="J293" s="7" t="n">
        <f aca="false">MAX(0,I293)*가정!$B$6</f>
        <v>41347800</v>
      </c>
      <c r="K293" s="7" t="n">
        <f aca="false">가정!$B$5+J293</f>
        <v>45347800</v>
      </c>
      <c r="L293" s="7" t="n">
        <f aca="false">H293-K293</f>
        <v>4594200</v>
      </c>
      <c r="M293" s="8" t="n">
        <f aca="false">IF(B293=0,0,K293/B293)</f>
        <v>0.542957375478927</v>
      </c>
      <c r="N293" s="7" t="n">
        <f aca="false">K293/가정!$B$8</f>
        <v>226739</v>
      </c>
      <c r="O293" s="7" t="n">
        <f aca="false">IF(I293&gt;0,A293,"")</f>
        <v>288</v>
      </c>
      <c r="P293" s="7" t="n">
        <f aca="false">IF(L293&gt;=0,A293,"")</f>
        <v>288</v>
      </c>
      <c r="Q293" s="7" t="n">
        <f aca="false">IF(K293&gt;=가정!$B$32,A293,"")</f>
        <v>288</v>
      </c>
      <c r="R293" s="7" t="str">
        <f aca="false">IF(MAX(0,I293)*(1-가정!$B$6)*'1억 상환'!$B$6&gt;='1억 상환'!$B$5,A293,"")</f>
        <v/>
      </c>
    </row>
    <row r="294" customFormat="false" ht="15" hidden="false" customHeight="false" outlineLevel="0" collapsed="false">
      <c r="A294" s="7" t="n">
        <v>289</v>
      </c>
      <c r="B294" s="7" t="n">
        <f aca="false">A294*가정!$B$10</f>
        <v>83810000</v>
      </c>
      <c r="C294" s="7" t="n">
        <f aca="false">가정!$B$34</f>
        <v>3590000</v>
      </c>
      <c r="D294" s="7" t="n">
        <f aca="false">ROUNDUP(MAX(0,A294-가정!$B$18)/가정!$B$19,0)</f>
        <v>5</v>
      </c>
      <c r="E294" s="7" t="n">
        <f aca="false">D294*가정!$B$20+ROUNDUP(A294/가정!$B$22,0)*가정!$B$21+ROUNDUP(A294/가정!$B$24,0)*가정!$B$23</f>
        <v>29700000</v>
      </c>
      <c r="F294" s="7" t="n">
        <f aca="false">A294*가정!$B$26+B294*가정!$B$27</f>
        <v>289000</v>
      </c>
      <c r="G294" s="7" t="n">
        <f aca="false">B294*가정!$B$28</f>
        <v>0</v>
      </c>
      <c r="H294" s="7" t="n">
        <f aca="false">B294-C294-E294-F294-G294</f>
        <v>50231000</v>
      </c>
      <c r="I294" s="7" t="n">
        <f aca="false">H294-IF(가정!$B$7=1,가정!$B$5,0)</f>
        <v>46231000</v>
      </c>
      <c r="J294" s="7" t="n">
        <f aca="false">MAX(0,I294)*가정!$B$6</f>
        <v>41607900</v>
      </c>
      <c r="K294" s="7" t="n">
        <f aca="false">가정!$B$5+J294</f>
        <v>45607900</v>
      </c>
      <c r="L294" s="7" t="n">
        <f aca="false">H294-K294</f>
        <v>4623100</v>
      </c>
      <c r="M294" s="8" t="n">
        <f aca="false">IF(B294=0,0,K294/B294)</f>
        <v>0.544182078510918</v>
      </c>
      <c r="N294" s="7" t="n">
        <f aca="false">K294/가정!$B$8</f>
        <v>228039.5</v>
      </c>
      <c r="O294" s="7" t="n">
        <f aca="false">IF(I294&gt;0,A294,"")</f>
        <v>289</v>
      </c>
      <c r="P294" s="7" t="n">
        <f aca="false">IF(L294&gt;=0,A294,"")</f>
        <v>289</v>
      </c>
      <c r="Q294" s="7" t="n">
        <f aca="false">IF(K294&gt;=가정!$B$32,A294,"")</f>
        <v>289</v>
      </c>
      <c r="R294" s="7" t="str">
        <f aca="false">IF(MAX(0,I294)*(1-가정!$B$6)*'1억 상환'!$B$6&gt;='1억 상환'!$B$5,A294,"")</f>
        <v/>
      </c>
    </row>
    <row r="295" customFormat="false" ht="15" hidden="false" customHeight="false" outlineLevel="0" collapsed="false">
      <c r="A295" s="7" t="n">
        <v>290</v>
      </c>
      <c r="B295" s="7" t="n">
        <f aca="false">A295*가정!$B$10</f>
        <v>84100000</v>
      </c>
      <c r="C295" s="7" t="n">
        <f aca="false">가정!$B$34</f>
        <v>3590000</v>
      </c>
      <c r="D295" s="7" t="n">
        <f aca="false">ROUNDUP(MAX(0,A295-가정!$B$18)/가정!$B$19,0)</f>
        <v>5</v>
      </c>
      <c r="E295" s="7" t="n">
        <f aca="false">D295*가정!$B$20+ROUNDUP(A295/가정!$B$22,0)*가정!$B$21+ROUNDUP(A295/가정!$B$24,0)*가정!$B$23</f>
        <v>29700000</v>
      </c>
      <c r="F295" s="7" t="n">
        <f aca="false">A295*가정!$B$26+B295*가정!$B$27</f>
        <v>290000</v>
      </c>
      <c r="G295" s="7" t="n">
        <f aca="false">B295*가정!$B$28</f>
        <v>0</v>
      </c>
      <c r="H295" s="7" t="n">
        <f aca="false">B295-C295-E295-F295-G295</f>
        <v>50520000</v>
      </c>
      <c r="I295" s="7" t="n">
        <f aca="false">H295-IF(가정!$B$7=1,가정!$B$5,0)</f>
        <v>46520000</v>
      </c>
      <c r="J295" s="7" t="n">
        <f aca="false">MAX(0,I295)*가정!$B$6</f>
        <v>41868000</v>
      </c>
      <c r="K295" s="7" t="n">
        <f aca="false">가정!$B$5+J295</f>
        <v>45868000</v>
      </c>
      <c r="L295" s="7" t="n">
        <f aca="false">H295-K295</f>
        <v>4652000</v>
      </c>
      <c r="M295" s="8" t="n">
        <f aca="false">IF(B295=0,0,K295/B295)</f>
        <v>0.545398335315101</v>
      </c>
      <c r="N295" s="7" t="n">
        <f aca="false">K295/가정!$B$8</f>
        <v>229340</v>
      </c>
      <c r="O295" s="7" t="n">
        <f aca="false">IF(I295&gt;0,A295,"")</f>
        <v>290</v>
      </c>
      <c r="P295" s="7" t="n">
        <f aca="false">IF(L295&gt;=0,A295,"")</f>
        <v>290</v>
      </c>
      <c r="Q295" s="7" t="n">
        <f aca="false">IF(K295&gt;=가정!$B$32,A295,"")</f>
        <v>290</v>
      </c>
      <c r="R295" s="7" t="str">
        <f aca="false">IF(MAX(0,I295)*(1-가정!$B$6)*'1억 상환'!$B$6&gt;='1억 상환'!$B$5,A295,"")</f>
        <v/>
      </c>
    </row>
    <row r="296" customFormat="false" ht="15" hidden="false" customHeight="false" outlineLevel="0" collapsed="false">
      <c r="A296" s="7" t="n">
        <v>291</v>
      </c>
      <c r="B296" s="7" t="n">
        <f aca="false">A296*가정!$B$10</f>
        <v>84390000</v>
      </c>
      <c r="C296" s="7" t="n">
        <f aca="false">가정!$B$34</f>
        <v>3590000</v>
      </c>
      <c r="D296" s="7" t="n">
        <f aca="false">ROUNDUP(MAX(0,A296-가정!$B$18)/가정!$B$19,0)</f>
        <v>5</v>
      </c>
      <c r="E296" s="7" t="n">
        <f aca="false">D296*가정!$B$20+ROUNDUP(A296/가정!$B$22,0)*가정!$B$21+ROUNDUP(A296/가정!$B$24,0)*가정!$B$23</f>
        <v>29700000</v>
      </c>
      <c r="F296" s="7" t="n">
        <f aca="false">A296*가정!$B$26+B296*가정!$B$27</f>
        <v>291000</v>
      </c>
      <c r="G296" s="7" t="n">
        <f aca="false">B296*가정!$B$28</f>
        <v>0</v>
      </c>
      <c r="H296" s="7" t="n">
        <f aca="false">B296-C296-E296-F296-G296</f>
        <v>50809000</v>
      </c>
      <c r="I296" s="7" t="n">
        <f aca="false">H296-IF(가정!$B$7=1,가정!$B$5,0)</f>
        <v>46809000</v>
      </c>
      <c r="J296" s="7" t="n">
        <f aca="false">MAX(0,I296)*가정!$B$6</f>
        <v>42128100</v>
      </c>
      <c r="K296" s="7" t="n">
        <f aca="false">가정!$B$5+J296</f>
        <v>46128100</v>
      </c>
      <c r="L296" s="7" t="n">
        <f aca="false">H296-K296</f>
        <v>4680900</v>
      </c>
      <c r="M296" s="8" t="n">
        <f aca="false">IF(B296=0,0,K296/B296)</f>
        <v>0.546606232965991</v>
      </c>
      <c r="N296" s="7" t="n">
        <f aca="false">K296/가정!$B$8</f>
        <v>230640.5</v>
      </c>
      <c r="O296" s="7" t="n">
        <f aca="false">IF(I296&gt;0,A296,"")</f>
        <v>291</v>
      </c>
      <c r="P296" s="7" t="n">
        <f aca="false">IF(L296&gt;=0,A296,"")</f>
        <v>291</v>
      </c>
      <c r="Q296" s="7" t="n">
        <f aca="false">IF(K296&gt;=가정!$B$32,A296,"")</f>
        <v>291</v>
      </c>
      <c r="R296" s="7" t="str">
        <f aca="false">IF(MAX(0,I296)*(1-가정!$B$6)*'1억 상환'!$B$6&gt;='1억 상환'!$B$5,A296,"")</f>
        <v/>
      </c>
    </row>
    <row r="297" customFormat="false" ht="15" hidden="false" customHeight="false" outlineLevel="0" collapsed="false">
      <c r="A297" s="7" t="n">
        <v>292</v>
      </c>
      <c r="B297" s="7" t="n">
        <f aca="false">A297*가정!$B$10</f>
        <v>84680000</v>
      </c>
      <c r="C297" s="7" t="n">
        <f aca="false">가정!$B$34</f>
        <v>3590000</v>
      </c>
      <c r="D297" s="7" t="n">
        <f aca="false">ROUNDUP(MAX(0,A297-가정!$B$18)/가정!$B$19,0)</f>
        <v>5</v>
      </c>
      <c r="E297" s="7" t="n">
        <f aca="false">D297*가정!$B$20+ROUNDUP(A297/가정!$B$22,0)*가정!$B$21+ROUNDUP(A297/가정!$B$24,0)*가정!$B$23</f>
        <v>29700000</v>
      </c>
      <c r="F297" s="7" t="n">
        <f aca="false">A297*가정!$B$26+B297*가정!$B$27</f>
        <v>292000</v>
      </c>
      <c r="G297" s="7" t="n">
        <f aca="false">B297*가정!$B$28</f>
        <v>0</v>
      </c>
      <c r="H297" s="7" t="n">
        <f aca="false">B297-C297-E297-F297-G297</f>
        <v>51098000</v>
      </c>
      <c r="I297" s="7" t="n">
        <f aca="false">H297-IF(가정!$B$7=1,가정!$B$5,0)</f>
        <v>47098000</v>
      </c>
      <c r="J297" s="7" t="n">
        <f aca="false">MAX(0,I297)*가정!$B$6</f>
        <v>42388200</v>
      </c>
      <c r="K297" s="7" t="n">
        <f aca="false">가정!$B$5+J297</f>
        <v>46388200</v>
      </c>
      <c r="L297" s="7" t="n">
        <f aca="false">H297-K297</f>
        <v>4709800</v>
      </c>
      <c r="M297" s="8" t="n">
        <f aca="false">IF(B297=0,0,K297/B297)</f>
        <v>0.5478058573453</v>
      </c>
      <c r="N297" s="7" t="n">
        <f aca="false">K297/가정!$B$8</f>
        <v>231941</v>
      </c>
      <c r="O297" s="7" t="n">
        <f aca="false">IF(I297&gt;0,A297,"")</f>
        <v>292</v>
      </c>
      <c r="P297" s="7" t="n">
        <f aca="false">IF(L297&gt;=0,A297,"")</f>
        <v>292</v>
      </c>
      <c r="Q297" s="7" t="n">
        <f aca="false">IF(K297&gt;=가정!$B$32,A297,"")</f>
        <v>292</v>
      </c>
      <c r="R297" s="7" t="str">
        <f aca="false">IF(MAX(0,I297)*(1-가정!$B$6)*'1억 상환'!$B$6&gt;='1억 상환'!$B$5,A297,"")</f>
        <v/>
      </c>
    </row>
    <row r="298" customFormat="false" ht="15" hidden="false" customHeight="false" outlineLevel="0" collapsed="false">
      <c r="A298" s="7" t="n">
        <v>293</v>
      </c>
      <c r="B298" s="7" t="n">
        <f aca="false">A298*가정!$B$10</f>
        <v>84970000</v>
      </c>
      <c r="C298" s="7" t="n">
        <f aca="false">가정!$B$34</f>
        <v>3590000</v>
      </c>
      <c r="D298" s="7" t="n">
        <f aca="false">ROUNDUP(MAX(0,A298-가정!$B$18)/가정!$B$19,0)</f>
        <v>5</v>
      </c>
      <c r="E298" s="7" t="n">
        <f aca="false">D298*가정!$B$20+ROUNDUP(A298/가정!$B$22,0)*가정!$B$21+ROUNDUP(A298/가정!$B$24,0)*가정!$B$23</f>
        <v>29700000</v>
      </c>
      <c r="F298" s="7" t="n">
        <f aca="false">A298*가정!$B$26+B298*가정!$B$27</f>
        <v>293000</v>
      </c>
      <c r="G298" s="7" t="n">
        <f aca="false">B298*가정!$B$28</f>
        <v>0</v>
      </c>
      <c r="H298" s="7" t="n">
        <f aca="false">B298-C298-E298-F298-G298</f>
        <v>51387000</v>
      </c>
      <c r="I298" s="7" t="n">
        <f aca="false">H298-IF(가정!$B$7=1,가정!$B$5,0)</f>
        <v>47387000</v>
      </c>
      <c r="J298" s="7" t="n">
        <f aca="false">MAX(0,I298)*가정!$B$6</f>
        <v>42648300</v>
      </c>
      <c r="K298" s="7" t="n">
        <f aca="false">가정!$B$5+J298</f>
        <v>46648300</v>
      </c>
      <c r="L298" s="7" t="n">
        <f aca="false">H298-K298</f>
        <v>4738700</v>
      </c>
      <c r="M298" s="8" t="n">
        <f aca="false">IF(B298=0,0,K298/B298)</f>
        <v>0.548997293162293</v>
      </c>
      <c r="N298" s="7" t="n">
        <f aca="false">K298/가정!$B$8</f>
        <v>233241.5</v>
      </c>
      <c r="O298" s="7" t="n">
        <f aca="false">IF(I298&gt;0,A298,"")</f>
        <v>293</v>
      </c>
      <c r="P298" s="7" t="n">
        <f aca="false">IF(L298&gt;=0,A298,"")</f>
        <v>293</v>
      </c>
      <c r="Q298" s="7" t="n">
        <f aca="false">IF(K298&gt;=가정!$B$32,A298,"")</f>
        <v>293</v>
      </c>
      <c r="R298" s="7" t="str">
        <f aca="false">IF(MAX(0,I298)*(1-가정!$B$6)*'1억 상환'!$B$6&gt;='1억 상환'!$B$5,A298,"")</f>
        <v/>
      </c>
    </row>
    <row r="299" customFormat="false" ht="15" hidden="false" customHeight="false" outlineLevel="0" collapsed="false">
      <c r="A299" s="7" t="n">
        <v>294</v>
      </c>
      <c r="B299" s="7" t="n">
        <f aca="false">A299*가정!$B$10</f>
        <v>85260000</v>
      </c>
      <c r="C299" s="7" t="n">
        <f aca="false">가정!$B$34</f>
        <v>3590000</v>
      </c>
      <c r="D299" s="7" t="n">
        <f aca="false">ROUNDUP(MAX(0,A299-가정!$B$18)/가정!$B$19,0)</f>
        <v>5</v>
      </c>
      <c r="E299" s="7" t="n">
        <f aca="false">D299*가정!$B$20+ROUNDUP(A299/가정!$B$22,0)*가정!$B$21+ROUNDUP(A299/가정!$B$24,0)*가정!$B$23</f>
        <v>29700000</v>
      </c>
      <c r="F299" s="7" t="n">
        <f aca="false">A299*가정!$B$26+B299*가정!$B$27</f>
        <v>294000</v>
      </c>
      <c r="G299" s="7" t="n">
        <f aca="false">B299*가정!$B$28</f>
        <v>0</v>
      </c>
      <c r="H299" s="7" t="n">
        <f aca="false">B299-C299-E299-F299-G299</f>
        <v>51676000</v>
      </c>
      <c r="I299" s="7" t="n">
        <f aca="false">H299-IF(가정!$B$7=1,가정!$B$5,0)</f>
        <v>47676000</v>
      </c>
      <c r="J299" s="7" t="n">
        <f aca="false">MAX(0,I299)*가정!$B$6</f>
        <v>42908400</v>
      </c>
      <c r="K299" s="7" t="n">
        <f aca="false">가정!$B$5+J299</f>
        <v>46908400</v>
      </c>
      <c r="L299" s="7" t="n">
        <f aca="false">H299-K299</f>
        <v>4767600</v>
      </c>
      <c r="M299" s="8" t="n">
        <f aca="false">IF(B299=0,0,K299/B299)</f>
        <v>0.550180623973728</v>
      </c>
      <c r="N299" s="7" t="n">
        <f aca="false">K299/가정!$B$8</f>
        <v>234542</v>
      </c>
      <c r="O299" s="7" t="n">
        <f aca="false">IF(I299&gt;0,A299,"")</f>
        <v>294</v>
      </c>
      <c r="P299" s="7" t="n">
        <f aca="false">IF(L299&gt;=0,A299,"")</f>
        <v>294</v>
      </c>
      <c r="Q299" s="7" t="n">
        <f aca="false">IF(K299&gt;=가정!$B$32,A299,"")</f>
        <v>294</v>
      </c>
      <c r="R299" s="7" t="str">
        <f aca="false">IF(MAX(0,I299)*(1-가정!$B$6)*'1억 상환'!$B$6&gt;='1억 상환'!$B$5,A299,"")</f>
        <v/>
      </c>
    </row>
    <row r="300" customFormat="false" ht="15" hidden="false" customHeight="false" outlineLevel="0" collapsed="false">
      <c r="A300" s="7" t="n">
        <v>295</v>
      </c>
      <c r="B300" s="7" t="n">
        <f aca="false">A300*가정!$B$10</f>
        <v>85550000</v>
      </c>
      <c r="C300" s="7" t="n">
        <f aca="false">가정!$B$34</f>
        <v>3590000</v>
      </c>
      <c r="D300" s="7" t="n">
        <f aca="false">ROUNDUP(MAX(0,A300-가정!$B$18)/가정!$B$19,0)</f>
        <v>5</v>
      </c>
      <c r="E300" s="7" t="n">
        <f aca="false">D300*가정!$B$20+ROUNDUP(A300/가정!$B$22,0)*가정!$B$21+ROUNDUP(A300/가정!$B$24,0)*가정!$B$23</f>
        <v>29700000</v>
      </c>
      <c r="F300" s="7" t="n">
        <f aca="false">A300*가정!$B$26+B300*가정!$B$27</f>
        <v>295000</v>
      </c>
      <c r="G300" s="7" t="n">
        <f aca="false">B300*가정!$B$28</f>
        <v>0</v>
      </c>
      <c r="H300" s="7" t="n">
        <f aca="false">B300-C300-E300-F300-G300</f>
        <v>51965000</v>
      </c>
      <c r="I300" s="7" t="n">
        <f aca="false">H300-IF(가정!$B$7=1,가정!$B$5,0)</f>
        <v>47965000</v>
      </c>
      <c r="J300" s="7" t="n">
        <f aca="false">MAX(0,I300)*가정!$B$6</f>
        <v>43168500</v>
      </c>
      <c r="K300" s="7" t="n">
        <f aca="false">가정!$B$5+J300</f>
        <v>47168500</v>
      </c>
      <c r="L300" s="7" t="n">
        <f aca="false">H300-K300</f>
        <v>4796500</v>
      </c>
      <c r="M300" s="8" t="n">
        <f aca="false">IF(B300=0,0,K300/B300)</f>
        <v>0.55135593220339</v>
      </c>
      <c r="N300" s="7" t="n">
        <f aca="false">K300/가정!$B$8</f>
        <v>235842.5</v>
      </c>
      <c r="O300" s="7" t="n">
        <f aca="false">IF(I300&gt;0,A300,"")</f>
        <v>295</v>
      </c>
      <c r="P300" s="7" t="n">
        <f aca="false">IF(L300&gt;=0,A300,"")</f>
        <v>295</v>
      </c>
      <c r="Q300" s="7" t="n">
        <f aca="false">IF(K300&gt;=가정!$B$32,A300,"")</f>
        <v>295</v>
      </c>
      <c r="R300" s="7" t="str">
        <f aca="false">IF(MAX(0,I300)*(1-가정!$B$6)*'1억 상환'!$B$6&gt;='1억 상환'!$B$5,A300,"")</f>
        <v/>
      </c>
    </row>
    <row r="301" customFormat="false" ht="15" hidden="false" customHeight="false" outlineLevel="0" collapsed="false">
      <c r="A301" s="7" t="n">
        <v>296</v>
      </c>
      <c r="B301" s="7" t="n">
        <f aca="false">A301*가정!$B$10</f>
        <v>85840000</v>
      </c>
      <c r="C301" s="7" t="n">
        <f aca="false">가정!$B$34</f>
        <v>3590000</v>
      </c>
      <c r="D301" s="7" t="n">
        <f aca="false">ROUNDUP(MAX(0,A301-가정!$B$18)/가정!$B$19,0)</f>
        <v>5</v>
      </c>
      <c r="E301" s="7" t="n">
        <f aca="false">D301*가정!$B$20+ROUNDUP(A301/가정!$B$22,0)*가정!$B$21+ROUNDUP(A301/가정!$B$24,0)*가정!$B$23</f>
        <v>29700000</v>
      </c>
      <c r="F301" s="7" t="n">
        <f aca="false">A301*가정!$B$26+B301*가정!$B$27</f>
        <v>296000</v>
      </c>
      <c r="G301" s="7" t="n">
        <f aca="false">B301*가정!$B$28</f>
        <v>0</v>
      </c>
      <c r="H301" s="7" t="n">
        <f aca="false">B301-C301-E301-F301-G301</f>
        <v>52254000</v>
      </c>
      <c r="I301" s="7" t="n">
        <f aca="false">H301-IF(가정!$B$7=1,가정!$B$5,0)</f>
        <v>48254000</v>
      </c>
      <c r="J301" s="7" t="n">
        <f aca="false">MAX(0,I301)*가정!$B$6</f>
        <v>43428600</v>
      </c>
      <c r="K301" s="7" t="n">
        <f aca="false">가정!$B$5+J301</f>
        <v>47428600</v>
      </c>
      <c r="L301" s="7" t="n">
        <f aca="false">H301-K301</f>
        <v>4825400</v>
      </c>
      <c r="M301" s="8" t="n">
        <f aca="false">IF(B301=0,0,K301/B301)</f>
        <v>0.55252329916123</v>
      </c>
      <c r="N301" s="7" t="n">
        <f aca="false">K301/가정!$B$8</f>
        <v>237143</v>
      </c>
      <c r="O301" s="7" t="n">
        <f aca="false">IF(I301&gt;0,A301,"")</f>
        <v>296</v>
      </c>
      <c r="P301" s="7" t="n">
        <f aca="false">IF(L301&gt;=0,A301,"")</f>
        <v>296</v>
      </c>
      <c r="Q301" s="7" t="n">
        <f aca="false">IF(K301&gt;=가정!$B$32,A301,"")</f>
        <v>296</v>
      </c>
      <c r="R301" s="7" t="str">
        <f aca="false">IF(MAX(0,I301)*(1-가정!$B$6)*'1억 상환'!$B$6&gt;='1억 상환'!$B$5,A301,"")</f>
        <v/>
      </c>
    </row>
    <row r="302" customFormat="false" ht="15" hidden="false" customHeight="false" outlineLevel="0" collapsed="false">
      <c r="A302" s="7" t="n">
        <v>297</v>
      </c>
      <c r="B302" s="7" t="n">
        <f aca="false">A302*가정!$B$10</f>
        <v>86130000</v>
      </c>
      <c r="C302" s="7" t="n">
        <f aca="false">가정!$B$34</f>
        <v>3590000</v>
      </c>
      <c r="D302" s="7" t="n">
        <f aca="false">ROUNDUP(MAX(0,A302-가정!$B$18)/가정!$B$19,0)</f>
        <v>5</v>
      </c>
      <c r="E302" s="7" t="n">
        <f aca="false">D302*가정!$B$20+ROUNDUP(A302/가정!$B$22,0)*가정!$B$21+ROUNDUP(A302/가정!$B$24,0)*가정!$B$23</f>
        <v>29700000</v>
      </c>
      <c r="F302" s="7" t="n">
        <f aca="false">A302*가정!$B$26+B302*가정!$B$27</f>
        <v>297000</v>
      </c>
      <c r="G302" s="7" t="n">
        <f aca="false">B302*가정!$B$28</f>
        <v>0</v>
      </c>
      <c r="H302" s="7" t="n">
        <f aca="false">B302-C302-E302-F302-G302</f>
        <v>52543000</v>
      </c>
      <c r="I302" s="7" t="n">
        <f aca="false">H302-IF(가정!$B$7=1,가정!$B$5,0)</f>
        <v>48543000</v>
      </c>
      <c r="J302" s="7" t="n">
        <f aca="false">MAX(0,I302)*가정!$B$6</f>
        <v>43688700</v>
      </c>
      <c r="K302" s="7" t="n">
        <f aca="false">가정!$B$5+J302</f>
        <v>47688700</v>
      </c>
      <c r="L302" s="7" t="n">
        <f aca="false">H302-K302</f>
        <v>4854300</v>
      </c>
      <c r="M302" s="8" t="n">
        <f aca="false">IF(B302=0,0,K302/B302)</f>
        <v>0.553682805062115</v>
      </c>
      <c r="N302" s="7" t="n">
        <f aca="false">K302/가정!$B$8</f>
        <v>238443.5</v>
      </c>
      <c r="O302" s="7" t="n">
        <f aca="false">IF(I302&gt;0,A302,"")</f>
        <v>297</v>
      </c>
      <c r="P302" s="7" t="n">
        <f aca="false">IF(L302&gt;=0,A302,"")</f>
        <v>297</v>
      </c>
      <c r="Q302" s="7" t="n">
        <f aca="false">IF(K302&gt;=가정!$B$32,A302,"")</f>
        <v>297</v>
      </c>
      <c r="R302" s="7" t="str">
        <f aca="false">IF(MAX(0,I302)*(1-가정!$B$6)*'1억 상환'!$B$6&gt;='1억 상환'!$B$5,A302,"")</f>
        <v/>
      </c>
    </row>
    <row r="303" customFormat="false" ht="15" hidden="false" customHeight="false" outlineLevel="0" collapsed="false">
      <c r="A303" s="7" t="n">
        <v>298</v>
      </c>
      <c r="B303" s="7" t="n">
        <f aca="false">A303*가정!$B$10</f>
        <v>86420000</v>
      </c>
      <c r="C303" s="7" t="n">
        <f aca="false">가정!$B$34</f>
        <v>3590000</v>
      </c>
      <c r="D303" s="7" t="n">
        <f aca="false">ROUNDUP(MAX(0,A303-가정!$B$18)/가정!$B$19,0)</f>
        <v>5</v>
      </c>
      <c r="E303" s="7" t="n">
        <f aca="false">D303*가정!$B$20+ROUNDUP(A303/가정!$B$22,0)*가정!$B$21+ROUNDUP(A303/가정!$B$24,0)*가정!$B$23</f>
        <v>29700000</v>
      </c>
      <c r="F303" s="7" t="n">
        <f aca="false">A303*가정!$B$26+B303*가정!$B$27</f>
        <v>298000</v>
      </c>
      <c r="G303" s="7" t="n">
        <f aca="false">B303*가정!$B$28</f>
        <v>0</v>
      </c>
      <c r="H303" s="7" t="n">
        <f aca="false">B303-C303-E303-F303-G303</f>
        <v>52832000</v>
      </c>
      <c r="I303" s="7" t="n">
        <f aca="false">H303-IF(가정!$B$7=1,가정!$B$5,0)</f>
        <v>48832000</v>
      </c>
      <c r="J303" s="7" t="n">
        <f aca="false">MAX(0,I303)*가정!$B$6</f>
        <v>43948800</v>
      </c>
      <c r="K303" s="7" t="n">
        <f aca="false">가정!$B$5+J303</f>
        <v>47948800</v>
      </c>
      <c r="L303" s="7" t="n">
        <f aca="false">H303-K303</f>
        <v>4883200</v>
      </c>
      <c r="M303" s="8" t="n">
        <f aca="false">IF(B303=0,0,K303/B303)</f>
        <v>0.554834529044203</v>
      </c>
      <c r="N303" s="7" t="n">
        <f aca="false">K303/가정!$B$8</f>
        <v>239744</v>
      </c>
      <c r="O303" s="7" t="n">
        <f aca="false">IF(I303&gt;0,A303,"")</f>
        <v>298</v>
      </c>
      <c r="P303" s="7" t="n">
        <f aca="false">IF(L303&gt;=0,A303,"")</f>
        <v>298</v>
      </c>
      <c r="Q303" s="7" t="n">
        <f aca="false">IF(K303&gt;=가정!$B$32,A303,"")</f>
        <v>298</v>
      </c>
      <c r="R303" s="7" t="str">
        <f aca="false">IF(MAX(0,I303)*(1-가정!$B$6)*'1억 상환'!$B$6&gt;='1억 상환'!$B$5,A303,"")</f>
        <v/>
      </c>
    </row>
    <row r="304" customFormat="false" ht="15" hidden="false" customHeight="false" outlineLevel="0" collapsed="false">
      <c r="A304" s="7" t="n">
        <v>299</v>
      </c>
      <c r="B304" s="7" t="n">
        <f aca="false">A304*가정!$B$10</f>
        <v>86710000</v>
      </c>
      <c r="C304" s="7" t="n">
        <f aca="false">가정!$B$34</f>
        <v>3590000</v>
      </c>
      <c r="D304" s="7" t="n">
        <f aca="false">ROUNDUP(MAX(0,A304-가정!$B$18)/가정!$B$19,0)</f>
        <v>5</v>
      </c>
      <c r="E304" s="7" t="n">
        <f aca="false">D304*가정!$B$20+ROUNDUP(A304/가정!$B$22,0)*가정!$B$21+ROUNDUP(A304/가정!$B$24,0)*가정!$B$23</f>
        <v>29700000</v>
      </c>
      <c r="F304" s="7" t="n">
        <f aca="false">A304*가정!$B$26+B304*가정!$B$27</f>
        <v>299000</v>
      </c>
      <c r="G304" s="7" t="n">
        <f aca="false">B304*가정!$B$28</f>
        <v>0</v>
      </c>
      <c r="H304" s="7" t="n">
        <f aca="false">B304-C304-E304-F304-G304</f>
        <v>53121000</v>
      </c>
      <c r="I304" s="7" t="n">
        <f aca="false">H304-IF(가정!$B$7=1,가정!$B$5,0)</f>
        <v>49121000</v>
      </c>
      <c r="J304" s="7" t="n">
        <f aca="false">MAX(0,I304)*가정!$B$6</f>
        <v>44208900</v>
      </c>
      <c r="K304" s="7" t="n">
        <f aca="false">가정!$B$5+J304</f>
        <v>48208900</v>
      </c>
      <c r="L304" s="7" t="n">
        <f aca="false">H304-K304</f>
        <v>4912100</v>
      </c>
      <c r="M304" s="8" t="n">
        <f aca="false">IF(B304=0,0,K304/B304)</f>
        <v>0.555978549186945</v>
      </c>
      <c r="N304" s="7" t="n">
        <f aca="false">K304/가정!$B$8</f>
        <v>241044.5</v>
      </c>
      <c r="O304" s="7" t="n">
        <f aca="false">IF(I304&gt;0,A304,"")</f>
        <v>299</v>
      </c>
      <c r="P304" s="7" t="n">
        <f aca="false">IF(L304&gt;=0,A304,"")</f>
        <v>299</v>
      </c>
      <c r="Q304" s="7" t="n">
        <f aca="false">IF(K304&gt;=가정!$B$32,A304,"")</f>
        <v>299</v>
      </c>
      <c r="R304" s="7" t="str">
        <f aca="false">IF(MAX(0,I304)*(1-가정!$B$6)*'1억 상환'!$B$6&gt;='1억 상환'!$B$5,A304,"")</f>
        <v/>
      </c>
    </row>
    <row r="305" customFormat="false" ht="15" hidden="false" customHeight="false" outlineLevel="0" collapsed="false">
      <c r="A305" s="7" t="n">
        <v>300</v>
      </c>
      <c r="B305" s="7" t="n">
        <f aca="false">A305*가정!$B$10</f>
        <v>87000000</v>
      </c>
      <c r="C305" s="7" t="n">
        <f aca="false">가정!$B$34</f>
        <v>3590000</v>
      </c>
      <c r="D305" s="7" t="n">
        <f aca="false">ROUNDUP(MAX(0,A305-가정!$B$18)/가정!$B$19,0)</f>
        <v>5</v>
      </c>
      <c r="E305" s="7" t="n">
        <f aca="false">D305*가정!$B$20+ROUNDUP(A305/가정!$B$22,0)*가정!$B$21+ROUNDUP(A305/가정!$B$24,0)*가정!$B$23</f>
        <v>29700000</v>
      </c>
      <c r="F305" s="7" t="n">
        <f aca="false">A305*가정!$B$26+B305*가정!$B$27</f>
        <v>300000</v>
      </c>
      <c r="G305" s="7" t="n">
        <f aca="false">B305*가정!$B$28</f>
        <v>0</v>
      </c>
      <c r="H305" s="7" t="n">
        <f aca="false">B305-C305-E305-F305-G305</f>
        <v>53410000</v>
      </c>
      <c r="I305" s="7" t="n">
        <f aca="false">H305-IF(가정!$B$7=1,가정!$B$5,0)</f>
        <v>49410000</v>
      </c>
      <c r="J305" s="7" t="n">
        <f aca="false">MAX(0,I305)*가정!$B$6</f>
        <v>44469000</v>
      </c>
      <c r="K305" s="7" t="n">
        <f aca="false">가정!$B$5+J305</f>
        <v>48469000</v>
      </c>
      <c r="L305" s="7" t="n">
        <f aca="false">H305-K305</f>
        <v>4941000</v>
      </c>
      <c r="M305" s="8" t="n">
        <f aca="false">IF(B305=0,0,K305/B305)</f>
        <v>0.557114942528736</v>
      </c>
      <c r="N305" s="7" t="n">
        <f aca="false">K305/가정!$B$8</f>
        <v>242345</v>
      </c>
      <c r="O305" s="7" t="n">
        <f aca="false">IF(I305&gt;0,A305,"")</f>
        <v>300</v>
      </c>
      <c r="P305" s="7" t="n">
        <f aca="false">IF(L305&gt;=0,A305,"")</f>
        <v>300</v>
      </c>
      <c r="Q305" s="7" t="n">
        <f aca="false">IF(K305&gt;=가정!$B$32,A305,"")</f>
        <v>300</v>
      </c>
      <c r="R305" s="7" t="str">
        <f aca="false">IF(MAX(0,I305)*(1-가정!$B$6)*'1억 상환'!$B$6&gt;='1억 상환'!$B$5,A305,"")</f>
        <v/>
      </c>
    </row>
    <row r="306" customFormat="false" ht="15" hidden="false" customHeight="false" outlineLevel="0" collapsed="false">
      <c r="A306" s="7" t="n">
        <v>301</v>
      </c>
      <c r="B306" s="7" t="n">
        <f aca="false">A306*가정!$B$10</f>
        <v>87290000</v>
      </c>
      <c r="C306" s="7" t="n">
        <f aca="false">가정!$B$34</f>
        <v>3590000</v>
      </c>
      <c r="D306" s="7" t="n">
        <f aca="false">ROUNDUP(MAX(0,A306-가정!$B$18)/가정!$B$19,0)</f>
        <v>6</v>
      </c>
      <c r="E306" s="7" t="n">
        <f aca="false">D306*가정!$B$20+ROUNDUP(A306/가정!$B$22,0)*가정!$B$21+ROUNDUP(A306/가정!$B$24,0)*가정!$B$23</f>
        <v>34600000</v>
      </c>
      <c r="F306" s="7" t="n">
        <f aca="false">A306*가정!$B$26+B306*가정!$B$27</f>
        <v>301000</v>
      </c>
      <c r="G306" s="7" t="n">
        <f aca="false">B306*가정!$B$28</f>
        <v>0</v>
      </c>
      <c r="H306" s="7" t="n">
        <f aca="false">B306-C306-E306-F306-G306</f>
        <v>48799000</v>
      </c>
      <c r="I306" s="7" t="n">
        <f aca="false">H306-IF(가정!$B$7=1,가정!$B$5,0)</f>
        <v>44799000</v>
      </c>
      <c r="J306" s="7" t="n">
        <f aca="false">MAX(0,I306)*가정!$B$6</f>
        <v>40319100</v>
      </c>
      <c r="K306" s="7" t="n">
        <f aca="false">가정!$B$5+J306</f>
        <v>44319100</v>
      </c>
      <c r="L306" s="7" t="n">
        <f aca="false">H306-K306</f>
        <v>4479900</v>
      </c>
      <c r="M306" s="8" t="n">
        <f aca="false">IF(B306=0,0,K306/B306)</f>
        <v>0.507722534081796</v>
      </c>
      <c r="N306" s="7" t="n">
        <f aca="false">K306/가정!$B$8</f>
        <v>221595.5</v>
      </c>
      <c r="O306" s="7" t="n">
        <f aca="false">IF(I306&gt;0,A306,"")</f>
        <v>301</v>
      </c>
      <c r="P306" s="7" t="n">
        <f aca="false">IF(L306&gt;=0,A306,"")</f>
        <v>301</v>
      </c>
      <c r="Q306" s="7" t="n">
        <f aca="false">IF(K306&gt;=가정!$B$32,A306,"")</f>
        <v>301</v>
      </c>
      <c r="R306" s="7" t="str">
        <f aca="false">IF(MAX(0,I306)*(1-가정!$B$6)*'1억 상환'!$B$6&gt;='1억 상환'!$B$5,A306,"")</f>
        <v/>
      </c>
    </row>
    <row r="307" customFormat="false" ht="15" hidden="false" customHeight="false" outlineLevel="0" collapsed="false">
      <c r="A307" s="7" t="n">
        <v>302</v>
      </c>
      <c r="B307" s="7" t="n">
        <f aca="false">A307*가정!$B$10</f>
        <v>87580000</v>
      </c>
      <c r="C307" s="7" t="n">
        <f aca="false">가정!$B$34</f>
        <v>3590000</v>
      </c>
      <c r="D307" s="7" t="n">
        <f aca="false">ROUNDUP(MAX(0,A307-가정!$B$18)/가정!$B$19,0)</f>
        <v>6</v>
      </c>
      <c r="E307" s="7" t="n">
        <f aca="false">D307*가정!$B$20+ROUNDUP(A307/가정!$B$22,0)*가정!$B$21+ROUNDUP(A307/가정!$B$24,0)*가정!$B$23</f>
        <v>34600000</v>
      </c>
      <c r="F307" s="7" t="n">
        <f aca="false">A307*가정!$B$26+B307*가정!$B$27</f>
        <v>302000</v>
      </c>
      <c r="G307" s="7" t="n">
        <f aca="false">B307*가정!$B$28</f>
        <v>0</v>
      </c>
      <c r="H307" s="7" t="n">
        <f aca="false">B307-C307-E307-F307-G307</f>
        <v>49088000</v>
      </c>
      <c r="I307" s="7" t="n">
        <f aca="false">H307-IF(가정!$B$7=1,가정!$B$5,0)</f>
        <v>45088000</v>
      </c>
      <c r="J307" s="7" t="n">
        <f aca="false">MAX(0,I307)*가정!$B$6</f>
        <v>40579200</v>
      </c>
      <c r="K307" s="7" t="n">
        <f aca="false">가정!$B$5+J307</f>
        <v>44579200</v>
      </c>
      <c r="L307" s="7" t="n">
        <f aca="false">H307-K307</f>
        <v>4508800</v>
      </c>
      <c r="M307" s="8" t="n">
        <f aca="false">IF(B307=0,0,K307/B307)</f>
        <v>0.509011189769354</v>
      </c>
      <c r="N307" s="7" t="n">
        <f aca="false">K307/가정!$B$8</f>
        <v>222896</v>
      </c>
      <c r="O307" s="7" t="n">
        <f aca="false">IF(I307&gt;0,A307,"")</f>
        <v>302</v>
      </c>
      <c r="P307" s="7" t="n">
        <f aca="false">IF(L307&gt;=0,A307,"")</f>
        <v>302</v>
      </c>
      <c r="Q307" s="7" t="n">
        <f aca="false">IF(K307&gt;=가정!$B$32,A307,"")</f>
        <v>302</v>
      </c>
      <c r="R307" s="7" t="str">
        <f aca="false">IF(MAX(0,I307)*(1-가정!$B$6)*'1억 상환'!$B$6&gt;='1억 상환'!$B$5,A307,"")</f>
        <v/>
      </c>
    </row>
    <row r="308" customFormat="false" ht="15" hidden="false" customHeight="false" outlineLevel="0" collapsed="false">
      <c r="A308" s="7" t="n">
        <v>303</v>
      </c>
      <c r="B308" s="7" t="n">
        <f aca="false">A308*가정!$B$10</f>
        <v>87870000</v>
      </c>
      <c r="C308" s="7" t="n">
        <f aca="false">가정!$B$34</f>
        <v>3590000</v>
      </c>
      <c r="D308" s="7" t="n">
        <f aca="false">ROUNDUP(MAX(0,A308-가정!$B$18)/가정!$B$19,0)</f>
        <v>6</v>
      </c>
      <c r="E308" s="7" t="n">
        <f aca="false">D308*가정!$B$20+ROUNDUP(A308/가정!$B$22,0)*가정!$B$21+ROUNDUP(A308/가정!$B$24,0)*가정!$B$23</f>
        <v>34600000</v>
      </c>
      <c r="F308" s="7" t="n">
        <f aca="false">A308*가정!$B$26+B308*가정!$B$27</f>
        <v>303000</v>
      </c>
      <c r="G308" s="7" t="n">
        <f aca="false">B308*가정!$B$28</f>
        <v>0</v>
      </c>
      <c r="H308" s="7" t="n">
        <f aca="false">B308-C308-E308-F308-G308</f>
        <v>49377000</v>
      </c>
      <c r="I308" s="7" t="n">
        <f aca="false">H308-IF(가정!$B$7=1,가정!$B$5,0)</f>
        <v>45377000</v>
      </c>
      <c r="J308" s="7" t="n">
        <f aca="false">MAX(0,I308)*가정!$B$6</f>
        <v>40839300</v>
      </c>
      <c r="K308" s="7" t="n">
        <f aca="false">가정!$B$5+J308</f>
        <v>44839300</v>
      </c>
      <c r="L308" s="7" t="n">
        <f aca="false">H308-K308</f>
        <v>4537700</v>
      </c>
      <c r="M308" s="8" t="n">
        <f aca="false">IF(B308=0,0,K308/B308)</f>
        <v>0.510291339478776</v>
      </c>
      <c r="N308" s="7" t="n">
        <f aca="false">K308/가정!$B$8</f>
        <v>224196.5</v>
      </c>
      <c r="O308" s="7" t="n">
        <f aca="false">IF(I308&gt;0,A308,"")</f>
        <v>303</v>
      </c>
      <c r="P308" s="7" t="n">
        <f aca="false">IF(L308&gt;=0,A308,"")</f>
        <v>303</v>
      </c>
      <c r="Q308" s="7" t="n">
        <f aca="false">IF(K308&gt;=가정!$B$32,A308,"")</f>
        <v>303</v>
      </c>
      <c r="R308" s="7" t="str">
        <f aca="false">IF(MAX(0,I308)*(1-가정!$B$6)*'1억 상환'!$B$6&gt;='1억 상환'!$B$5,A308,"")</f>
        <v/>
      </c>
    </row>
    <row r="309" customFormat="false" ht="15" hidden="false" customHeight="false" outlineLevel="0" collapsed="false">
      <c r="A309" s="7" t="n">
        <v>304</v>
      </c>
      <c r="B309" s="7" t="n">
        <f aca="false">A309*가정!$B$10</f>
        <v>88160000</v>
      </c>
      <c r="C309" s="7" t="n">
        <f aca="false">가정!$B$34</f>
        <v>3590000</v>
      </c>
      <c r="D309" s="7" t="n">
        <f aca="false">ROUNDUP(MAX(0,A309-가정!$B$18)/가정!$B$19,0)</f>
        <v>6</v>
      </c>
      <c r="E309" s="7" t="n">
        <f aca="false">D309*가정!$B$20+ROUNDUP(A309/가정!$B$22,0)*가정!$B$21+ROUNDUP(A309/가정!$B$24,0)*가정!$B$23</f>
        <v>34600000</v>
      </c>
      <c r="F309" s="7" t="n">
        <f aca="false">A309*가정!$B$26+B309*가정!$B$27</f>
        <v>304000</v>
      </c>
      <c r="G309" s="7" t="n">
        <f aca="false">B309*가정!$B$28</f>
        <v>0</v>
      </c>
      <c r="H309" s="7" t="n">
        <f aca="false">B309-C309-E309-F309-G309</f>
        <v>49666000</v>
      </c>
      <c r="I309" s="7" t="n">
        <f aca="false">H309-IF(가정!$B$7=1,가정!$B$5,0)</f>
        <v>45666000</v>
      </c>
      <c r="J309" s="7" t="n">
        <f aca="false">MAX(0,I309)*가정!$B$6</f>
        <v>41099400</v>
      </c>
      <c r="K309" s="7" t="n">
        <f aca="false">가정!$B$5+J309</f>
        <v>45099400</v>
      </c>
      <c r="L309" s="7" t="n">
        <f aca="false">H309-K309</f>
        <v>4566600</v>
      </c>
      <c r="M309" s="8" t="n">
        <f aca="false">IF(B309=0,0,K309/B309)</f>
        <v>0.511563067150635</v>
      </c>
      <c r="N309" s="7" t="n">
        <f aca="false">K309/가정!$B$8</f>
        <v>225497</v>
      </c>
      <c r="O309" s="7" t="n">
        <f aca="false">IF(I309&gt;0,A309,"")</f>
        <v>304</v>
      </c>
      <c r="P309" s="7" t="n">
        <f aca="false">IF(L309&gt;=0,A309,"")</f>
        <v>304</v>
      </c>
      <c r="Q309" s="7" t="n">
        <f aca="false">IF(K309&gt;=가정!$B$32,A309,"")</f>
        <v>304</v>
      </c>
      <c r="R309" s="7" t="str">
        <f aca="false">IF(MAX(0,I309)*(1-가정!$B$6)*'1억 상환'!$B$6&gt;='1억 상환'!$B$5,A309,"")</f>
        <v/>
      </c>
    </row>
    <row r="310" customFormat="false" ht="15" hidden="false" customHeight="false" outlineLevel="0" collapsed="false">
      <c r="A310" s="7" t="n">
        <v>305</v>
      </c>
      <c r="B310" s="7" t="n">
        <f aca="false">A310*가정!$B$10</f>
        <v>88450000</v>
      </c>
      <c r="C310" s="7" t="n">
        <f aca="false">가정!$B$34</f>
        <v>3590000</v>
      </c>
      <c r="D310" s="7" t="n">
        <f aca="false">ROUNDUP(MAX(0,A310-가정!$B$18)/가정!$B$19,0)</f>
        <v>6</v>
      </c>
      <c r="E310" s="7" t="n">
        <f aca="false">D310*가정!$B$20+ROUNDUP(A310/가정!$B$22,0)*가정!$B$21+ROUNDUP(A310/가정!$B$24,0)*가정!$B$23</f>
        <v>34600000</v>
      </c>
      <c r="F310" s="7" t="n">
        <f aca="false">A310*가정!$B$26+B310*가정!$B$27</f>
        <v>305000</v>
      </c>
      <c r="G310" s="7" t="n">
        <f aca="false">B310*가정!$B$28</f>
        <v>0</v>
      </c>
      <c r="H310" s="7" t="n">
        <f aca="false">B310-C310-E310-F310-G310</f>
        <v>49955000</v>
      </c>
      <c r="I310" s="7" t="n">
        <f aca="false">H310-IF(가정!$B$7=1,가정!$B$5,0)</f>
        <v>45955000</v>
      </c>
      <c r="J310" s="7" t="n">
        <f aca="false">MAX(0,I310)*가정!$B$6</f>
        <v>41359500</v>
      </c>
      <c r="K310" s="7" t="n">
        <f aca="false">가정!$B$5+J310</f>
        <v>45359500</v>
      </c>
      <c r="L310" s="7" t="n">
        <f aca="false">H310-K310</f>
        <v>4595500</v>
      </c>
      <c r="M310" s="8" t="n">
        <f aca="false">IF(B310=0,0,K310/B310)</f>
        <v>0.512826455624647</v>
      </c>
      <c r="N310" s="7" t="n">
        <f aca="false">K310/가정!$B$8</f>
        <v>226797.5</v>
      </c>
      <c r="O310" s="7" t="n">
        <f aca="false">IF(I310&gt;0,A310,"")</f>
        <v>305</v>
      </c>
      <c r="P310" s="7" t="n">
        <f aca="false">IF(L310&gt;=0,A310,"")</f>
        <v>305</v>
      </c>
      <c r="Q310" s="7" t="n">
        <f aca="false">IF(K310&gt;=가정!$B$32,A310,"")</f>
        <v>305</v>
      </c>
      <c r="R310" s="7" t="str">
        <f aca="false">IF(MAX(0,I310)*(1-가정!$B$6)*'1억 상환'!$B$6&gt;='1억 상환'!$B$5,A310,"")</f>
        <v/>
      </c>
    </row>
    <row r="311" customFormat="false" ht="15" hidden="false" customHeight="false" outlineLevel="0" collapsed="false">
      <c r="A311" s="7" t="n">
        <v>306</v>
      </c>
      <c r="B311" s="7" t="n">
        <f aca="false">A311*가정!$B$10</f>
        <v>88740000</v>
      </c>
      <c r="C311" s="7" t="n">
        <f aca="false">가정!$B$34</f>
        <v>3590000</v>
      </c>
      <c r="D311" s="7" t="n">
        <f aca="false">ROUNDUP(MAX(0,A311-가정!$B$18)/가정!$B$19,0)</f>
        <v>6</v>
      </c>
      <c r="E311" s="7" t="n">
        <f aca="false">D311*가정!$B$20+ROUNDUP(A311/가정!$B$22,0)*가정!$B$21+ROUNDUP(A311/가정!$B$24,0)*가정!$B$23</f>
        <v>34600000</v>
      </c>
      <c r="F311" s="7" t="n">
        <f aca="false">A311*가정!$B$26+B311*가정!$B$27</f>
        <v>306000</v>
      </c>
      <c r="G311" s="7" t="n">
        <f aca="false">B311*가정!$B$28</f>
        <v>0</v>
      </c>
      <c r="H311" s="7" t="n">
        <f aca="false">B311-C311-E311-F311-G311</f>
        <v>50244000</v>
      </c>
      <c r="I311" s="7" t="n">
        <f aca="false">H311-IF(가정!$B$7=1,가정!$B$5,0)</f>
        <v>46244000</v>
      </c>
      <c r="J311" s="7" t="n">
        <f aca="false">MAX(0,I311)*가정!$B$6</f>
        <v>41619600</v>
      </c>
      <c r="K311" s="7" t="n">
        <f aca="false">가정!$B$5+J311</f>
        <v>45619600</v>
      </c>
      <c r="L311" s="7" t="n">
        <f aca="false">H311-K311</f>
        <v>4624400</v>
      </c>
      <c r="M311" s="8" t="n">
        <f aca="false">IF(B311=0,0,K311/B311)</f>
        <v>0.514081586657652</v>
      </c>
      <c r="N311" s="7" t="n">
        <f aca="false">K311/가정!$B$8</f>
        <v>228098</v>
      </c>
      <c r="O311" s="7" t="n">
        <f aca="false">IF(I311&gt;0,A311,"")</f>
        <v>306</v>
      </c>
      <c r="P311" s="7" t="n">
        <f aca="false">IF(L311&gt;=0,A311,"")</f>
        <v>306</v>
      </c>
      <c r="Q311" s="7" t="n">
        <f aca="false">IF(K311&gt;=가정!$B$32,A311,"")</f>
        <v>306</v>
      </c>
      <c r="R311" s="7" t="str">
        <f aca="false">IF(MAX(0,I311)*(1-가정!$B$6)*'1억 상환'!$B$6&gt;='1억 상환'!$B$5,A311,"")</f>
        <v/>
      </c>
    </row>
    <row r="312" customFormat="false" ht="15" hidden="false" customHeight="false" outlineLevel="0" collapsed="false">
      <c r="A312" s="7" t="n">
        <v>307</v>
      </c>
      <c r="B312" s="7" t="n">
        <f aca="false">A312*가정!$B$10</f>
        <v>89030000</v>
      </c>
      <c r="C312" s="7" t="n">
        <f aca="false">가정!$B$34</f>
        <v>3590000</v>
      </c>
      <c r="D312" s="7" t="n">
        <f aca="false">ROUNDUP(MAX(0,A312-가정!$B$18)/가정!$B$19,0)</f>
        <v>6</v>
      </c>
      <c r="E312" s="7" t="n">
        <f aca="false">D312*가정!$B$20+ROUNDUP(A312/가정!$B$22,0)*가정!$B$21+ROUNDUP(A312/가정!$B$24,0)*가정!$B$23</f>
        <v>34600000</v>
      </c>
      <c r="F312" s="7" t="n">
        <f aca="false">A312*가정!$B$26+B312*가정!$B$27</f>
        <v>307000</v>
      </c>
      <c r="G312" s="7" t="n">
        <f aca="false">B312*가정!$B$28</f>
        <v>0</v>
      </c>
      <c r="H312" s="7" t="n">
        <f aca="false">B312-C312-E312-F312-G312</f>
        <v>50533000</v>
      </c>
      <c r="I312" s="7" t="n">
        <f aca="false">H312-IF(가정!$B$7=1,가정!$B$5,0)</f>
        <v>46533000</v>
      </c>
      <c r="J312" s="7" t="n">
        <f aca="false">MAX(0,I312)*가정!$B$6</f>
        <v>41879700</v>
      </c>
      <c r="K312" s="7" t="n">
        <f aca="false">가정!$B$5+J312</f>
        <v>45879700</v>
      </c>
      <c r="L312" s="7" t="n">
        <f aca="false">H312-K312</f>
        <v>4653300</v>
      </c>
      <c r="M312" s="8" t="n">
        <f aca="false">IF(B312=0,0,K312/B312)</f>
        <v>0.515328540941256</v>
      </c>
      <c r="N312" s="7" t="n">
        <f aca="false">K312/가정!$B$8</f>
        <v>229398.5</v>
      </c>
      <c r="O312" s="7" t="n">
        <f aca="false">IF(I312&gt;0,A312,"")</f>
        <v>307</v>
      </c>
      <c r="P312" s="7" t="n">
        <f aca="false">IF(L312&gt;=0,A312,"")</f>
        <v>307</v>
      </c>
      <c r="Q312" s="7" t="n">
        <f aca="false">IF(K312&gt;=가정!$B$32,A312,"")</f>
        <v>307</v>
      </c>
      <c r="R312" s="7" t="str">
        <f aca="false">IF(MAX(0,I312)*(1-가정!$B$6)*'1억 상환'!$B$6&gt;='1억 상환'!$B$5,A312,"")</f>
        <v/>
      </c>
    </row>
    <row r="313" customFormat="false" ht="15" hidden="false" customHeight="false" outlineLevel="0" collapsed="false">
      <c r="A313" s="7" t="n">
        <v>308</v>
      </c>
      <c r="B313" s="7" t="n">
        <f aca="false">A313*가정!$B$10</f>
        <v>89320000</v>
      </c>
      <c r="C313" s="7" t="n">
        <f aca="false">가정!$B$34</f>
        <v>3590000</v>
      </c>
      <c r="D313" s="7" t="n">
        <f aca="false">ROUNDUP(MAX(0,A313-가정!$B$18)/가정!$B$19,0)</f>
        <v>6</v>
      </c>
      <c r="E313" s="7" t="n">
        <f aca="false">D313*가정!$B$20+ROUNDUP(A313/가정!$B$22,0)*가정!$B$21+ROUNDUP(A313/가정!$B$24,0)*가정!$B$23</f>
        <v>34600000</v>
      </c>
      <c r="F313" s="7" t="n">
        <f aca="false">A313*가정!$B$26+B313*가정!$B$27</f>
        <v>308000</v>
      </c>
      <c r="G313" s="7" t="n">
        <f aca="false">B313*가정!$B$28</f>
        <v>0</v>
      </c>
      <c r="H313" s="7" t="n">
        <f aca="false">B313-C313-E313-F313-G313</f>
        <v>50822000</v>
      </c>
      <c r="I313" s="7" t="n">
        <f aca="false">H313-IF(가정!$B$7=1,가정!$B$5,0)</f>
        <v>46822000</v>
      </c>
      <c r="J313" s="7" t="n">
        <f aca="false">MAX(0,I313)*가정!$B$6</f>
        <v>42139800</v>
      </c>
      <c r="K313" s="7" t="n">
        <f aca="false">가정!$B$5+J313</f>
        <v>46139800</v>
      </c>
      <c r="L313" s="7" t="n">
        <f aca="false">H313-K313</f>
        <v>4682200</v>
      </c>
      <c r="M313" s="8" t="n">
        <f aca="false">IF(B313=0,0,K313/B313)</f>
        <v>0.516567398119122</v>
      </c>
      <c r="N313" s="7" t="n">
        <f aca="false">K313/가정!$B$8</f>
        <v>230699</v>
      </c>
      <c r="O313" s="7" t="n">
        <f aca="false">IF(I313&gt;0,A313,"")</f>
        <v>308</v>
      </c>
      <c r="P313" s="7" t="n">
        <f aca="false">IF(L313&gt;=0,A313,"")</f>
        <v>308</v>
      </c>
      <c r="Q313" s="7" t="n">
        <f aca="false">IF(K313&gt;=가정!$B$32,A313,"")</f>
        <v>308</v>
      </c>
      <c r="R313" s="7" t="str">
        <f aca="false">IF(MAX(0,I313)*(1-가정!$B$6)*'1억 상환'!$B$6&gt;='1억 상환'!$B$5,A313,"")</f>
        <v/>
      </c>
    </row>
    <row r="314" customFormat="false" ht="15" hidden="false" customHeight="false" outlineLevel="0" collapsed="false">
      <c r="A314" s="7" t="n">
        <v>309</v>
      </c>
      <c r="B314" s="7" t="n">
        <f aca="false">A314*가정!$B$10</f>
        <v>89610000</v>
      </c>
      <c r="C314" s="7" t="n">
        <f aca="false">가정!$B$34</f>
        <v>3590000</v>
      </c>
      <c r="D314" s="7" t="n">
        <f aca="false">ROUNDUP(MAX(0,A314-가정!$B$18)/가정!$B$19,0)</f>
        <v>6</v>
      </c>
      <c r="E314" s="7" t="n">
        <f aca="false">D314*가정!$B$20+ROUNDUP(A314/가정!$B$22,0)*가정!$B$21+ROUNDUP(A314/가정!$B$24,0)*가정!$B$23</f>
        <v>34600000</v>
      </c>
      <c r="F314" s="7" t="n">
        <f aca="false">A314*가정!$B$26+B314*가정!$B$27</f>
        <v>309000</v>
      </c>
      <c r="G314" s="7" t="n">
        <f aca="false">B314*가정!$B$28</f>
        <v>0</v>
      </c>
      <c r="H314" s="7" t="n">
        <f aca="false">B314-C314-E314-F314-G314</f>
        <v>51111000</v>
      </c>
      <c r="I314" s="7" t="n">
        <f aca="false">H314-IF(가정!$B$7=1,가정!$B$5,0)</f>
        <v>47111000</v>
      </c>
      <c r="J314" s="7" t="n">
        <f aca="false">MAX(0,I314)*가정!$B$6</f>
        <v>42399900</v>
      </c>
      <c r="K314" s="7" t="n">
        <f aca="false">가정!$B$5+J314</f>
        <v>46399900</v>
      </c>
      <c r="L314" s="7" t="n">
        <f aca="false">H314-K314</f>
        <v>4711100</v>
      </c>
      <c r="M314" s="8" t="n">
        <f aca="false">IF(B314=0,0,K314/B314)</f>
        <v>0.517798236803928</v>
      </c>
      <c r="N314" s="7" t="n">
        <f aca="false">K314/가정!$B$8</f>
        <v>231999.5</v>
      </c>
      <c r="O314" s="7" t="n">
        <f aca="false">IF(I314&gt;0,A314,"")</f>
        <v>309</v>
      </c>
      <c r="P314" s="7" t="n">
        <f aca="false">IF(L314&gt;=0,A314,"")</f>
        <v>309</v>
      </c>
      <c r="Q314" s="7" t="n">
        <f aca="false">IF(K314&gt;=가정!$B$32,A314,"")</f>
        <v>309</v>
      </c>
      <c r="R314" s="7" t="str">
        <f aca="false">IF(MAX(0,I314)*(1-가정!$B$6)*'1억 상환'!$B$6&gt;='1억 상환'!$B$5,A314,"")</f>
        <v/>
      </c>
    </row>
    <row r="315" customFormat="false" ht="15" hidden="false" customHeight="false" outlineLevel="0" collapsed="false">
      <c r="A315" s="7" t="n">
        <v>310</v>
      </c>
      <c r="B315" s="7" t="n">
        <f aca="false">A315*가정!$B$10</f>
        <v>89900000</v>
      </c>
      <c r="C315" s="7" t="n">
        <f aca="false">가정!$B$34</f>
        <v>3590000</v>
      </c>
      <c r="D315" s="7" t="n">
        <f aca="false">ROUNDUP(MAX(0,A315-가정!$B$18)/가정!$B$19,0)</f>
        <v>6</v>
      </c>
      <c r="E315" s="7" t="n">
        <f aca="false">D315*가정!$B$20+ROUNDUP(A315/가정!$B$22,0)*가정!$B$21+ROUNDUP(A315/가정!$B$24,0)*가정!$B$23</f>
        <v>34600000</v>
      </c>
      <c r="F315" s="7" t="n">
        <f aca="false">A315*가정!$B$26+B315*가정!$B$27</f>
        <v>310000</v>
      </c>
      <c r="G315" s="7" t="n">
        <f aca="false">B315*가정!$B$28</f>
        <v>0</v>
      </c>
      <c r="H315" s="7" t="n">
        <f aca="false">B315-C315-E315-F315-G315</f>
        <v>51400000</v>
      </c>
      <c r="I315" s="7" t="n">
        <f aca="false">H315-IF(가정!$B$7=1,가정!$B$5,0)</f>
        <v>47400000</v>
      </c>
      <c r="J315" s="7" t="n">
        <f aca="false">MAX(0,I315)*가정!$B$6</f>
        <v>42660000</v>
      </c>
      <c r="K315" s="7" t="n">
        <f aca="false">가정!$B$5+J315</f>
        <v>46660000</v>
      </c>
      <c r="L315" s="7" t="n">
        <f aca="false">H315-K315</f>
        <v>4740000</v>
      </c>
      <c r="M315" s="8" t="n">
        <f aca="false">IF(B315=0,0,K315/B315)</f>
        <v>0.519021134593993</v>
      </c>
      <c r="N315" s="7" t="n">
        <f aca="false">K315/가정!$B$8</f>
        <v>233300</v>
      </c>
      <c r="O315" s="7" t="n">
        <f aca="false">IF(I315&gt;0,A315,"")</f>
        <v>310</v>
      </c>
      <c r="P315" s="7" t="n">
        <f aca="false">IF(L315&gt;=0,A315,"")</f>
        <v>310</v>
      </c>
      <c r="Q315" s="7" t="n">
        <f aca="false">IF(K315&gt;=가정!$B$32,A315,"")</f>
        <v>310</v>
      </c>
      <c r="R315" s="7" t="str">
        <f aca="false">IF(MAX(0,I315)*(1-가정!$B$6)*'1억 상환'!$B$6&gt;='1억 상환'!$B$5,A315,"")</f>
        <v/>
      </c>
    </row>
    <row r="316" customFormat="false" ht="15" hidden="false" customHeight="false" outlineLevel="0" collapsed="false">
      <c r="A316" s="7" t="n">
        <v>311</v>
      </c>
      <c r="B316" s="7" t="n">
        <f aca="false">A316*가정!$B$10</f>
        <v>90190000</v>
      </c>
      <c r="C316" s="7" t="n">
        <f aca="false">가정!$B$34</f>
        <v>3590000</v>
      </c>
      <c r="D316" s="7" t="n">
        <f aca="false">ROUNDUP(MAX(0,A316-가정!$B$18)/가정!$B$19,0)</f>
        <v>6</v>
      </c>
      <c r="E316" s="7" t="n">
        <f aca="false">D316*가정!$B$20+ROUNDUP(A316/가정!$B$22,0)*가정!$B$21+ROUNDUP(A316/가정!$B$24,0)*가정!$B$23</f>
        <v>34600000</v>
      </c>
      <c r="F316" s="7" t="n">
        <f aca="false">A316*가정!$B$26+B316*가정!$B$27</f>
        <v>311000</v>
      </c>
      <c r="G316" s="7" t="n">
        <f aca="false">B316*가정!$B$28</f>
        <v>0</v>
      </c>
      <c r="H316" s="7" t="n">
        <f aca="false">B316-C316-E316-F316-G316</f>
        <v>51689000</v>
      </c>
      <c r="I316" s="7" t="n">
        <f aca="false">H316-IF(가정!$B$7=1,가정!$B$5,0)</f>
        <v>47689000</v>
      </c>
      <c r="J316" s="7" t="n">
        <f aca="false">MAX(0,I316)*가정!$B$6</f>
        <v>42920100</v>
      </c>
      <c r="K316" s="7" t="n">
        <f aca="false">가정!$B$5+J316</f>
        <v>46920100</v>
      </c>
      <c r="L316" s="7" t="n">
        <f aca="false">H316-K316</f>
        <v>4768900</v>
      </c>
      <c r="M316" s="8" t="n">
        <f aca="false">IF(B316=0,0,K316/B316)</f>
        <v>0.520236168089589</v>
      </c>
      <c r="N316" s="7" t="n">
        <f aca="false">K316/가정!$B$8</f>
        <v>234600.5</v>
      </c>
      <c r="O316" s="7" t="n">
        <f aca="false">IF(I316&gt;0,A316,"")</f>
        <v>311</v>
      </c>
      <c r="P316" s="7" t="n">
        <f aca="false">IF(L316&gt;=0,A316,"")</f>
        <v>311</v>
      </c>
      <c r="Q316" s="7" t="n">
        <f aca="false">IF(K316&gt;=가정!$B$32,A316,"")</f>
        <v>311</v>
      </c>
      <c r="R316" s="7" t="str">
        <f aca="false">IF(MAX(0,I316)*(1-가정!$B$6)*'1억 상환'!$B$6&gt;='1억 상환'!$B$5,A316,"")</f>
        <v/>
      </c>
    </row>
    <row r="317" customFormat="false" ht="15" hidden="false" customHeight="false" outlineLevel="0" collapsed="false">
      <c r="A317" s="7" t="n">
        <v>312</v>
      </c>
      <c r="B317" s="7" t="n">
        <f aca="false">A317*가정!$B$10</f>
        <v>90480000</v>
      </c>
      <c r="C317" s="7" t="n">
        <f aca="false">가정!$B$34</f>
        <v>3590000</v>
      </c>
      <c r="D317" s="7" t="n">
        <f aca="false">ROUNDUP(MAX(0,A317-가정!$B$18)/가정!$B$19,0)</f>
        <v>6</v>
      </c>
      <c r="E317" s="7" t="n">
        <f aca="false">D317*가정!$B$20+ROUNDUP(A317/가정!$B$22,0)*가정!$B$21+ROUNDUP(A317/가정!$B$24,0)*가정!$B$23</f>
        <v>34600000</v>
      </c>
      <c r="F317" s="7" t="n">
        <f aca="false">A317*가정!$B$26+B317*가정!$B$27</f>
        <v>312000</v>
      </c>
      <c r="G317" s="7" t="n">
        <f aca="false">B317*가정!$B$28</f>
        <v>0</v>
      </c>
      <c r="H317" s="7" t="n">
        <f aca="false">B317-C317-E317-F317-G317</f>
        <v>51978000</v>
      </c>
      <c r="I317" s="7" t="n">
        <f aca="false">H317-IF(가정!$B$7=1,가정!$B$5,0)</f>
        <v>47978000</v>
      </c>
      <c r="J317" s="7" t="n">
        <f aca="false">MAX(0,I317)*가정!$B$6</f>
        <v>43180200</v>
      </c>
      <c r="K317" s="7" t="n">
        <f aca="false">가정!$B$5+J317</f>
        <v>47180200</v>
      </c>
      <c r="L317" s="7" t="n">
        <f aca="false">H317-K317</f>
        <v>4797800</v>
      </c>
      <c r="M317" s="8" t="n">
        <f aca="false">IF(B317=0,0,K317/B317)</f>
        <v>0.52144341290893</v>
      </c>
      <c r="N317" s="7" t="n">
        <f aca="false">K317/가정!$B$8</f>
        <v>235901</v>
      </c>
      <c r="O317" s="7" t="n">
        <f aca="false">IF(I317&gt;0,A317,"")</f>
        <v>312</v>
      </c>
      <c r="P317" s="7" t="n">
        <f aca="false">IF(L317&gt;=0,A317,"")</f>
        <v>312</v>
      </c>
      <c r="Q317" s="7" t="n">
        <f aca="false">IF(K317&gt;=가정!$B$32,A317,"")</f>
        <v>312</v>
      </c>
      <c r="R317" s="7" t="str">
        <f aca="false">IF(MAX(0,I317)*(1-가정!$B$6)*'1억 상환'!$B$6&gt;='1억 상환'!$B$5,A317,"")</f>
        <v/>
      </c>
    </row>
    <row r="318" customFormat="false" ht="15" hidden="false" customHeight="false" outlineLevel="0" collapsed="false">
      <c r="A318" s="7" t="n">
        <v>313</v>
      </c>
      <c r="B318" s="7" t="n">
        <f aca="false">A318*가정!$B$10</f>
        <v>90770000</v>
      </c>
      <c r="C318" s="7" t="n">
        <f aca="false">가정!$B$34</f>
        <v>3590000</v>
      </c>
      <c r="D318" s="7" t="n">
        <f aca="false">ROUNDUP(MAX(0,A318-가정!$B$18)/가정!$B$19,0)</f>
        <v>6</v>
      </c>
      <c r="E318" s="7" t="n">
        <f aca="false">D318*가정!$B$20+ROUNDUP(A318/가정!$B$22,0)*가정!$B$21+ROUNDUP(A318/가정!$B$24,0)*가정!$B$23</f>
        <v>34600000</v>
      </c>
      <c r="F318" s="7" t="n">
        <f aca="false">A318*가정!$B$26+B318*가정!$B$27</f>
        <v>313000</v>
      </c>
      <c r="G318" s="7" t="n">
        <f aca="false">B318*가정!$B$28</f>
        <v>0</v>
      </c>
      <c r="H318" s="7" t="n">
        <f aca="false">B318-C318-E318-F318-G318</f>
        <v>52267000</v>
      </c>
      <c r="I318" s="7" t="n">
        <f aca="false">H318-IF(가정!$B$7=1,가정!$B$5,0)</f>
        <v>48267000</v>
      </c>
      <c r="J318" s="7" t="n">
        <f aca="false">MAX(0,I318)*가정!$B$6</f>
        <v>43440300</v>
      </c>
      <c r="K318" s="7" t="n">
        <f aca="false">가정!$B$5+J318</f>
        <v>47440300</v>
      </c>
      <c r="L318" s="7" t="n">
        <f aca="false">H318-K318</f>
        <v>4826700</v>
      </c>
      <c r="M318" s="8" t="n">
        <f aca="false">IF(B318=0,0,K318/B318)</f>
        <v>0.522642943703867</v>
      </c>
      <c r="N318" s="7" t="n">
        <f aca="false">K318/가정!$B$8</f>
        <v>237201.5</v>
      </c>
      <c r="O318" s="7" t="n">
        <f aca="false">IF(I318&gt;0,A318,"")</f>
        <v>313</v>
      </c>
      <c r="P318" s="7" t="n">
        <f aca="false">IF(L318&gt;=0,A318,"")</f>
        <v>313</v>
      </c>
      <c r="Q318" s="7" t="n">
        <f aca="false">IF(K318&gt;=가정!$B$32,A318,"")</f>
        <v>313</v>
      </c>
      <c r="R318" s="7" t="str">
        <f aca="false">IF(MAX(0,I318)*(1-가정!$B$6)*'1억 상환'!$B$6&gt;='1억 상환'!$B$5,A318,"")</f>
        <v/>
      </c>
    </row>
    <row r="319" customFormat="false" ht="15" hidden="false" customHeight="false" outlineLevel="0" collapsed="false">
      <c r="A319" s="7" t="n">
        <v>314</v>
      </c>
      <c r="B319" s="7" t="n">
        <f aca="false">A319*가정!$B$10</f>
        <v>91060000</v>
      </c>
      <c r="C319" s="7" t="n">
        <f aca="false">가정!$B$34</f>
        <v>3590000</v>
      </c>
      <c r="D319" s="7" t="n">
        <f aca="false">ROUNDUP(MAX(0,A319-가정!$B$18)/가정!$B$19,0)</f>
        <v>6</v>
      </c>
      <c r="E319" s="7" t="n">
        <f aca="false">D319*가정!$B$20+ROUNDUP(A319/가정!$B$22,0)*가정!$B$21+ROUNDUP(A319/가정!$B$24,0)*가정!$B$23</f>
        <v>34600000</v>
      </c>
      <c r="F319" s="7" t="n">
        <f aca="false">A319*가정!$B$26+B319*가정!$B$27</f>
        <v>314000</v>
      </c>
      <c r="G319" s="7" t="n">
        <f aca="false">B319*가정!$B$28</f>
        <v>0</v>
      </c>
      <c r="H319" s="7" t="n">
        <f aca="false">B319-C319-E319-F319-G319</f>
        <v>52556000</v>
      </c>
      <c r="I319" s="7" t="n">
        <f aca="false">H319-IF(가정!$B$7=1,가정!$B$5,0)</f>
        <v>48556000</v>
      </c>
      <c r="J319" s="7" t="n">
        <f aca="false">MAX(0,I319)*가정!$B$6</f>
        <v>43700400</v>
      </c>
      <c r="K319" s="7" t="n">
        <f aca="false">가정!$B$5+J319</f>
        <v>47700400</v>
      </c>
      <c r="L319" s="7" t="n">
        <f aca="false">H319-K319</f>
        <v>4855600</v>
      </c>
      <c r="M319" s="8" t="n">
        <f aca="false">IF(B319=0,0,K319/B319)</f>
        <v>0.523834834175269</v>
      </c>
      <c r="N319" s="7" t="n">
        <f aca="false">K319/가정!$B$8</f>
        <v>238502</v>
      </c>
      <c r="O319" s="7" t="n">
        <f aca="false">IF(I319&gt;0,A319,"")</f>
        <v>314</v>
      </c>
      <c r="P319" s="7" t="n">
        <f aca="false">IF(L319&gt;=0,A319,"")</f>
        <v>314</v>
      </c>
      <c r="Q319" s="7" t="n">
        <f aca="false">IF(K319&gt;=가정!$B$32,A319,"")</f>
        <v>314</v>
      </c>
      <c r="R319" s="7" t="str">
        <f aca="false">IF(MAX(0,I319)*(1-가정!$B$6)*'1억 상환'!$B$6&gt;='1억 상환'!$B$5,A319,"")</f>
        <v/>
      </c>
    </row>
    <row r="320" customFormat="false" ht="15" hidden="false" customHeight="false" outlineLevel="0" collapsed="false">
      <c r="A320" s="7" t="n">
        <v>315</v>
      </c>
      <c r="B320" s="7" t="n">
        <f aca="false">A320*가정!$B$10</f>
        <v>91350000</v>
      </c>
      <c r="C320" s="7" t="n">
        <f aca="false">가정!$B$34</f>
        <v>3590000</v>
      </c>
      <c r="D320" s="7" t="n">
        <f aca="false">ROUNDUP(MAX(0,A320-가정!$B$18)/가정!$B$19,0)</f>
        <v>6</v>
      </c>
      <c r="E320" s="7" t="n">
        <f aca="false">D320*가정!$B$20+ROUNDUP(A320/가정!$B$22,0)*가정!$B$21+ROUNDUP(A320/가정!$B$24,0)*가정!$B$23</f>
        <v>34600000</v>
      </c>
      <c r="F320" s="7" t="n">
        <f aca="false">A320*가정!$B$26+B320*가정!$B$27</f>
        <v>315000</v>
      </c>
      <c r="G320" s="7" t="n">
        <f aca="false">B320*가정!$B$28</f>
        <v>0</v>
      </c>
      <c r="H320" s="7" t="n">
        <f aca="false">B320-C320-E320-F320-G320</f>
        <v>52845000</v>
      </c>
      <c r="I320" s="7" t="n">
        <f aca="false">H320-IF(가정!$B$7=1,가정!$B$5,0)</f>
        <v>48845000</v>
      </c>
      <c r="J320" s="7" t="n">
        <f aca="false">MAX(0,I320)*가정!$B$6</f>
        <v>43960500</v>
      </c>
      <c r="K320" s="7" t="n">
        <f aca="false">가정!$B$5+J320</f>
        <v>47960500</v>
      </c>
      <c r="L320" s="7" t="n">
        <f aca="false">H320-K320</f>
        <v>4884500</v>
      </c>
      <c r="M320" s="8" t="n">
        <f aca="false">IF(B320=0,0,K320/B320)</f>
        <v>0.525019157088123</v>
      </c>
      <c r="N320" s="7" t="n">
        <f aca="false">K320/가정!$B$8</f>
        <v>239802.5</v>
      </c>
      <c r="O320" s="7" t="n">
        <f aca="false">IF(I320&gt;0,A320,"")</f>
        <v>315</v>
      </c>
      <c r="P320" s="7" t="n">
        <f aca="false">IF(L320&gt;=0,A320,"")</f>
        <v>315</v>
      </c>
      <c r="Q320" s="7" t="n">
        <f aca="false">IF(K320&gt;=가정!$B$32,A320,"")</f>
        <v>315</v>
      </c>
      <c r="R320" s="7" t="str">
        <f aca="false">IF(MAX(0,I320)*(1-가정!$B$6)*'1억 상환'!$B$6&gt;='1억 상환'!$B$5,A320,"")</f>
        <v/>
      </c>
    </row>
    <row r="321" customFormat="false" ht="15" hidden="false" customHeight="false" outlineLevel="0" collapsed="false">
      <c r="A321" s="7" t="n">
        <v>316</v>
      </c>
      <c r="B321" s="7" t="n">
        <f aca="false">A321*가정!$B$10</f>
        <v>91640000</v>
      </c>
      <c r="C321" s="7" t="n">
        <f aca="false">가정!$B$34</f>
        <v>3590000</v>
      </c>
      <c r="D321" s="7" t="n">
        <f aca="false">ROUNDUP(MAX(0,A321-가정!$B$18)/가정!$B$19,0)</f>
        <v>6</v>
      </c>
      <c r="E321" s="7" t="n">
        <f aca="false">D321*가정!$B$20+ROUNDUP(A321/가정!$B$22,0)*가정!$B$21+ROUNDUP(A321/가정!$B$24,0)*가정!$B$23</f>
        <v>34600000</v>
      </c>
      <c r="F321" s="7" t="n">
        <f aca="false">A321*가정!$B$26+B321*가정!$B$27</f>
        <v>316000</v>
      </c>
      <c r="G321" s="7" t="n">
        <f aca="false">B321*가정!$B$28</f>
        <v>0</v>
      </c>
      <c r="H321" s="7" t="n">
        <f aca="false">B321-C321-E321-F321-G321</f>
        <v>53134000</v>
      </c>
      <c r="I321" s="7" t="n">
        <f aca="false">H321-IF(가정!$B$7=1,가정!$B$5,0)</f>
        <v>49134000</v>
      </c>
      <c r="J321" s="7" t="n">
        <f aca="false">MAX(0,I321)*가정!$B$6</f>
        <v>44220600</v>
      </c>
      <c r="K321" s="7" t="n">
        <f aca="false">가정!$B$5+J321</f>
        <v>48220600</v>
      </c>
      <c r="L321" s="7" t="n">
        <f aca="false">H321-K321</f>
        <v>4913400</v>
      </c>
      <c r="M321" s="8" t="n">
        <f aca="false">IF(B321=0,0,K321/B321)</f>
        <v>0.526195984286338</v>
      </c>
      <c r="N321" s="7" t="n">
        <f aca="false">K321/가정!$B$8</f>
        <v>241103</v>
      </c>
      <c r="O321" s="7" t="n">
        <f aca="false">IF(I321&gt;0,A321,"")</f>
        <v>316</v>
      </c>
      <c r="P321" s="7" t="n">
        <f aca="false">IF(L321&gt;=0,A321,"")</f>
        <v>316</v>
      </c>
      <c r="Q321" s="7" t="n">
        <f aca="false">IF(K321&gt;=가정!$B$32,A321,"")</f>
        <v>316</v>
      </c>
      <c r="R321" s="7" t="str">
        <f aca="false">IF(MAX(0,I321)*(1-가정!$B$6)*'1억 상환'!$B$6&gt;='1억 상환'!$B$5,A321,"")</f>
        <v/>
      </c>
    </row>
    <row r="322" customFormat="false" ht="15" hidden="false" customHeight="false" outlineLevel="0" collapsed="false">
      <c r="A322" s="7" t="n">
        <v>317</v>
      </c>
      <c r="B322" s="7" t="n">
        <f aca="false">A322*가정!$B$10</f>
        <v>91930000</v>
      </c>
      <c r="C322" s="7" t="n">
        <f aca="false">가정!$B$34</f>
        <v>3590000</v>
      </c>
      <c r="D322" s="7" t="n">
        <f aca="false">ROUNDUP(MAX(0,A322-가정!$B$18)/가정!$B$19,0)</f>
        <v>6</v>
      </c>
      <c r="E322" s="7" t="n">
        <f aca="false">D322*가정!$B$20+ROUNDUP(A322/가정!$B$22,0)*가정!$B$21+ROUNDUP(A322/가정!$B$24,0)*가정!$B$23</f>
        <v>34600000</v>
      </c>
      <c r="F322" s="7" t="n">
        <f aca="false">A322*가정!$B$26+B322*가정!$B$27</f>
        <v>317000</v>
      </c>
      <c r="G322" s="7" t="n">
        <f aca="false">B322*가정!$B$28</f>
        <v>0</v>
      </c>
      <c r="H322" s="7" t="n">
        <f aca="false">B322-C322-E322-F322-G322</f>
        <v>53423000</v>
      </c>
      <c r="I322" s="7" t="n">
        <f aca="false">H322-IF(가정!$B$7=1,가정!$B$5,0)</f>
        <v>49423000</v>
      </c>
      <c r="J322" s="7" t="n">
        <f aca="false">MAX(0,I322)*가정!$B$6</f>
        <v>44480700</v>
      </c>
      <c r="K322" s="7" t="n">
        <f aca="false">가정!$B$5+J322</f>
        <v>48480700</v>
      </c>
      <c r="L322" s="7" t="n">
        <f aca="false">H322-K322</f>
        <v>4942300</v>
      </c>
      <c r="M322" s="8" t="n">
        <f aca="false">IF(B322=0,0,K322/B322)</f>
        <v>0.527365386707277</v>
      </c>
      <c r="N322" s="7" t="n">
        <f aca="false">K322/가정!$B$8</f>
        <v>242403.5</v>
      </c>
      <c r="O322" s="7" t="n">
        <f aca="false">IF(I322&gt;0,A322,"")</f>
        <v>317</v>
      </c>
      <c r="P322" s="7" t="n">
        <f aca="false">IF(L322&gt;=0,A322,"")</f>
        <v>317</v>
      </c>
      <c r="Q322" s="7" t="n">
        <f aca="false">IF(K322&gt;=가정!$B$32,A322,"")</f>
        <v>317</v>
      </c>
      <c r="R322" s="7" t="str">
        <f aca="false">IF(MAX(0,I322)*(1-가정!$B$6)*'1억 상환'!$B$6&gt;='1억 상환'!$B$5,A322,"")</f>
        <v/>
      </c>
    </row>
    <row r="323" customFormat="false" ht="15" hidden="false" customHeight="false" outlineLevel="0" collapsed="false">
      <c r="A323" s="7" t="n">
        <v>318</v>
      </c>
      <c r="B323" s="7" t="n">
        <f aca="false">A323*가정!$B$10</f>
        <v>92220000</v>
      </c>
      <c r="C323" s="7" t="n">
        <f aca="false">가정!$B$34</f>
        <v>3590000</v>
      </c>
      <c r="D323" s="7" t="n">
        <f aca="false">ROUNDUP(MAX(0,A323-가정!$B$18)/가정!$B$19,0)</f>
        <v>6</v>
      </c>
      <c r="E323" s="7" t="n">
        <f aca="false">D323*가정!$B$20+ROUNDUP(A323/가정!$B$22,0)*가정!$B$21+ROUNDUP(A323/가정!$B$24,0)*가정!$B$23</f>
        <v>34600000</v>
      </c>
      <c r="F323" s="7" t="n">
        <f aca="false">A323*가정!$B$26+B323*가정!$B$27</f>
        <v>318000</v>
      </c>
      <c r="G323" s="7" t="n">
        <f aca="false">B323*가정!$B$28</f>
        <v>0</v>
      </c>
      <c r="H323" s="7" t="n">
        <f aca="false">B323-C323-E323-F323-G323</f>
        <v>53712000</v>
      </c>
      <c r="I323" s="7" t="n">
        <f aca="false">H323-IF(가정!$B$7=1,가정!$B$5,0)</f>
        <v>49712000</v>
      </c>
      <c r="J323" s="7" t="n">
        <f aca="false">MAX(0,I323)*가정!$B$6</f>
        <v>44740800</v>
      </c>
      <c r="K323" s="7" t="n">
        <f aca="false">가정!$B$5+J323</f>
        <v>48740800</v>
      </c>
      <c r="L323" s="7" t="n">
        <f aca="false">H323-K323</f>
        <v>4971200</v>
      </c>
      <c r="M323" s="8" t="n">
        <f aca="false">IF(B323=0,0,K323/B323)</f>
        <v>0.52852743439601</v>
      </c>
      <c r="N323" s="7" t="n">
        <f aca="false">K323/가정!$B$8</f>
        <v>243704</v>
      </c>
      <c r="O323" s="7" t="n">
        <f aca="false">IF(I323&gt;0,A323,"")</f>
        <v>318</v>
      </c>
      <c r="P323" s="7" t="n">
        <f aca="false">IF(L323&gt;=0,A323,"")</f>
        <v>318</v>
      </c>
      <c r="Q323" s="7" t="n">
        <f aca="false">IF(K323&gt;=가정!$B$32,A323,"")</f>
        <v>318</v>
      </c>
      <c r="R323" s="7" t="str">
        <f aca="false">IF(MAX(0,I323)*(1-가정!$B$6)*'1억 상환'!$B$6&gt;='1억 상환'!$B$5,A323,"")</f>
        <v/>
      </c>
    </row>
    <row r="324" customFormat="false" ht="15" hidden="false" customHeight="false" outlineLevel="0" collapsed="false">
      <c r="A324" s="7" t="n">
        <v>319</v>
      </c>
      <c r="B324" s="7" t="n">
        <f aca="false">A324*가정!$B$10</f>
        <v>92510000</v>
      </c>
      <c r="C324" s="7" t="n">
        <f aca="false">가정!$B$34</f>
        <v>3590000</v>
      </c>
      <c r="D324" s="7" t="n">
        <f aca="false">ROUNDUP(MAX(0,A324-가정!$B$18)/가정!$B$19,0)</f>
        <v>6</v>
      </c>
      <c r="E324" s="7" t="n">
        <f aca="false">D324*가정!$B$20+ROUNDUP(A324/가정!$B$22,0)*가정!$B$21+ROUNDUP(A324/가정!$B$24,0)*가정!$B$23</f>
        <v>34600000</v>
      </c>
      <c r="F324" s="7" t="n">
        <f aca="false">A324*가정!$B$26+B324*가정!$B$27</f>
        <v>319000</v>
      </c>
      <c r="G324" s="7" t="n">
        <f aca="false">B324*가정!$B$28</f>
        <v>0</v>
      </c>
      <c r="H324" s="7" t="n">
        <f aca="false">B324-C324-E324-F324-G324</f>
        <v>54001000</v>
      </c>
      <c r="I324" s="7" t="n">
        <f aca="false">H324-IF(가정!$B$7=1,가정!$B$5,0)</f>
        <v>50001000</v>
      </c>
      <c r="J324" s="7" t="n">
        <f aca="false">MAX(0,I324)*가정!$B$6</f>
        <v>45000900</v>
      </c>
      <c r="K324" s="7" t="n">
        <f aca="false">가정!$B$5+J324</f>
        <v>49000900</v>
      </c>
      <c r="L324" s="7" t="n">
        <f aca="false">H324-K324</f>
        <v>5000100</v>
      </c>
      <c r="M324" s="8" t="n">
        <f aca="false">IF(B324=0,0,K324/B324)</f>
        <v>0.529682196519295</v>
      </c>
      <c r="N324" s="7" t="n">
        <f aca="false">K324/가정!$B$8</f>
        <v>245004.5</v>
      </c>
      <c r="O324" s="7" t="n">
        <f aca="false">IF(I324&gt;0,A324,"")</f>
        <v>319</v>
      </c>
      <c r="P324" s="7" t="n">
        <f aca="false">IF(L324&gt;=0,A324,"")</f>
        <v>319</v>
      </c>
      <c r="Q324" s="7" t="n">
        <f aca="false">IF(K324&gt;=가정!$B$32,A324,"")</f>
        <v>319</v>
      </c>
      <c r="R324" s="7" t="str">
        <f aca="false">IF(MAX(0,I324)*(1-가정!$B$6)*'1억 상환'!$B$6&gt;='1억 상환'!$B$5,A324,"")</f>
        <v/>
      </c>
    </row>
    <row r="325" customFormat="false" ht="15" hidden="false" customHeight="false" outlineLevel="0" collapsed="false">
      <c r="A325" s="7" t="n">
        <v>320</v>
      </c>
      <c r="B325" s="7" t="n">
        <f aca="false">A325*가정!$B$10</f>
        <v>92800000</v>
      </c>
      <c r="C325" s="7" t="n">
        <f aca="false">가정!$B$34</f>
        <v>3590000</v>
      </c>
      <c r="D325" s="7" t="n">
        <f aca="false">ROUNDUP(MAX(0,A325-가정!$B$18)/가정!$B$19,0)</f>
        <v>6</v>
      </c>
      <c r="E325" s="7" t="n">
        <f aca="false">D325*가정!$B$20+ROUNDUP(A325/가정!$B$22,0)*가정!$B$21+ROUNDUP(A325/가정!$B$24,0)*가정!$B$23</f>
        <v>34600000</v>
      </c>
      <c r="F325" s="7" t="n">
        <f aca="false">A325*가정!$B$26+B325*가정!$B$27</f>
        <v>320000</v>
      </c>
      <c r="G325" s="7" t="n">
        <f aca="false">B325*가정!$B$28</f>
        <v>0</v>
      </c>
      <c r="H325" s="7" t="n">
        <f aca="false">B325-C325-E325-F325-G325</f>
        <v>54290000</v>
      </c>
      <c r="I325" s="7" t="n">
        <f aca="false">H325-IF(가정!$B$7=1,가정!$B$5,0)</f>
        <v>50290000</v>
      </c>
      <c r="J325" s="7" t="n">
        <f aca="false">MAX(0,I325)*가정!$B$6</f>
        <v>45261000</v>
      </c>
      <c r="K325" s="7" t="n">
        <f aca="false">가정!$B$5+J325</f>
        <v>49261000</v>
      </c>
      <c r="L325" s="7" t="n">
        <f aca="false">H325-K325</f>
        <v>5029000</v>
      </c>
      <c r="M325" s="8" t="n">
        <f aca="false">IF(B325=0,0,K325/B325)</f>
        <v>0.53082974137931</v>
      </c>
      <c r="N325" s="7" t="n">
        <f aca="false">K325/가정!$B$8</f>
        <v>246305</v>
      </c>
      <c r="O325" s="7" t="n">
        <f aca="false">IF(I325&gt;0,A325,"")</f>
        <v>320</v>
      </c>
      <c r="P325" s="7" t="n">
        <f aca="false">IF(L325&gt;=0,A325,"")</f>
        <v>320</v>
      </c>
      <c r="Q325" s="7" t="n">
        <f aca="false">IF(K325&gt;=가정!$B$32,A325,"")</f>
        <v>320</v>
      </c>
      <c r="R325" s="7" t="str">
        <f aca="false">IF(MAX(0,I325)*(1-가정!$B$6)*'1억 상환'!$B$6&gt;='1억 상환'!$B$5,A325,"")</f>
        <v/>
      </c>
    </row>
    <row r="326" customFormat="false" ht="15" hidden="false" customHeight="false" outlineLevel="0" collapsed="false">
      <c r="A326" s="7" t="n">
        <v>321</v>
      </c>
      <c r="B326" s="7" t="n">
        <f aca="false">A326*가정!$B$10</f>
        <v>93090000</v>
      </c>
      <c r="C326" s="7" t="n">
        <f aca="false">가정!$B$34</f>
        <v>3590000</v>
      </c>
      <c r="D326" s="7" t="n">
        <f aca="false">ROUNDUP(MAX(0,A326-가정!$B$18)/가정!$B$19,0)</f>
        <v>6</v>
      </c>
      <c r="E326" s="7" t="n">
        <f aca="false">D326*가정!$B$20+ROUNDUP(A326/가정!$B$22,0)*가정!$B$21+ROUNDUP(A326/가정!$B$24,0)*가정!$B$23</f>
        <v>34600000</v>
      </c>
      <c r="F326" s="7" t="n">
        <f aca="false">A326*가정!$B$26+B326*가정!$B$27</f>
        <v>321000</v>
      </c>
      <c r="G326" s="7" t="n">
        <f aca="false">B326*가정!$B$28</f>
        <v>0</v>
      </c>
      <c r="H326" s="7" t="n">
        <f aca="false">B326-C326-E326-F326-G326</f>
        <v>54579000</v>
      </c>
      <c r="I326" s="7" t="n">
        <f aca="false">H326-IF(가정!$B$7=1,가정!$B$5,0)</f>
        <v>50579000</v>
      </c>
      <c r="J326" s="7" t="n">
        <f aca="false">MAX(0,I326)*가정!$B$6</f>
        <v>45521100</v>
      </c>
      <c r="K326" s="7" t="n">
        <f aca="false">가정!$B$5+J326</f>
        <v>49521100</v>
      </c>
      <c r="L326" s="7" t="n">
        <f aca="false">H326-K326</f>
        <v>5057900</v>
      </c>
      <c r="M326" s="8" t="n">
        <f aca="false">IF(B326=0,0,K326/B326)</f>
        <v>0.531970136427114</v>
      </c>
      <c r="N326" s="7" t="n">
        <f aca="false">K326/가정!$B$8</f>
        <v>247605.5</v>
      </c>
      <c r="O326" s="7" t="n">
        <f aca="false">IF(I326&gt;0,A326,"")</f>
        <v>321</v>
      </c>
      <c r="P326" s="7" t="n">
        <f aca="false">IF(L326&gt;=0,A326,"")</f>
        <v>321</v>
      </c>
      <c r="Q326" s="7" t="n">
        <f aca="false">IF(K326&gt;=가정!$B$32,A326,"")</f>
        <v>321</v>
      </c>
      <c r="R326" s="7" t="str">
        <f aca="false">IF(MAX(0,I326)*(1-가정!$B$6)*'1억 상환'!$B$6&gt;='1억 상환'!$B$5,A326,"")</f>
        <v/>
      </c>
    </row>
    <row r="327" customFormat="false" ht="15" hidden="false" customHeight="false" outlineLevel="0" collapsed="false">
      <c r="A327" s="7" t="n">
        <v>322</v>
      </c>
      <c r="B327" s="7" t="n">
        <f aca="false">A327*가정!$B$10</f>
        <v>93380000</v>
      </c>
      <c r="C327" s="7" t="n">
        <f aca="false">가정!$B$34</f>
        <v>3590000</v>
      </c>
      <c r="D327" s="7" t="n">
        <f aca="false">ROUNDUP(MAX(0,A327-가정!$B$18)/가정!$B$19,0)</f>
        <v>6</v>
      </c>
      <c r="E327" s="7" t="n">
        <f aca="false">D327*가정!$B$20+ROUNDUP(A327/가정!$B$22,0)*가정!$B$21+ROUNDUP(A327/가정!$B$24,0)*가정!$B$23</f>
        <v>34600000</v>
      </c>
      <c r="F327" s="7" t="n">
        <f aca="false">A327*가정!$B$26+B327*가정!$B$27</f>
        <v>322000</v>
      </c>
      <c r="G327" s="7" t="n">
        <f aca="false">B327*가정!$B$28</f>
        <v>0</v>
      </c>
      <c r="H327" s="7" t="n">
        <f aca="false">B327-C327-E327-F327-G327</f>
        <v>54868000</v>
      </c>
      <c r="I327" s="7" t="n">
        <f aca="false">H327-IF(가정!$B$7=1,가정!$B$5,0)</f>
        <v>50868000</v>
      </c>
      <c r="J327" s="7" t="n">
        <f aca="false">MAX(0,I327)*가정!$B$6</f>
        <v>45781200</v>
      </c>
      <c r="K327" s="7" t="n">
        <f aca="false">가정!$B$5+J327</f>
        <v>49781200</v>
      </c>
      <c r="L327" s="7" t="n">
        <f aca="false">H327-K327</f>
        <v>5086800</v>
      </c>
      <c r="M327" s="8" t="n">
        <f aca="false">IF(B327=0,0,K327/B327)</f>
        <v>0.533103448275862</v>
      </c>
      <c r="N327" s="7" t="n">
        <f aca="false">K327/가정!$B$8</f>
        <v>248906</v>
      </c>
      <c r="O327" s="7" t="n">
        <f aca="false">IF(I327&gt;0,A327,"")</f>
        <v>322</v>
      </c>
      <c r="P327" s="7" t="n">
        <f aca="false">IF(L327&gt;=0,A327,"")</f>
        <v>322</v>
      </c>
      <c r="Q327" s="7" t="n">
        <f aca="false">IF(K327&gt;=가정!$B$32,A327,"")</f>
        <v>322</v>
      </c>
      <c r="R327" s="7" t="str">
        <f aca="false">IF(MAX(0,I327)*(1-가정!$B$6)*'1억 상환'!$B$6&gt;='1억 상환'!$B$5,A327,"")</f>
        <v/>
      </c>
    </row>
    <row r="328" customFormat="false" ht="15" hidden="false" customHeight="false" outlineLevel="0" collapsed="false">
      <c r="A328" s="7" t="n">
        <v>323</v>
      </c>
      <c r="B328" s="7" t="n">
        <f aca="false">A328*가정!$B$10</f>
        <v>93670000</v>
      </c>
      <c r="C328" s="7" t="n">
        <f aca="false">가정!$B$34</f>
        <v>3590000</v>
      </c>
      <c r="D328" s="7" t="n">
        <f aca="false">ROUNDUP(MAX(0,A328-가정!$B$18)/가정!$B$19,0)</f>
        <v>6</v>
      </c>
      <c r="E328" s="7" t="n">
        <f aca="false">D328*가정!$B$20+ROUNDUP(A328/가정!$B$22,0)*가정!$B$21+ROUNDUP(A328/가정!$B$24,0)*가정!$B$23</f>
        <v>34600000</v>
      </c>
      <c r="F328" s="7" t="n">
        <f aca="false">A328*가정!$B$26+B328*가정!$B$27</f>
        <v>323000</v>
      </c>
      <c r="G328" s="7" t="n">
        <f aca="false">B328*가정!$B$28</f>
        <v>0</v>
      </c>
      <c r="H328" s="7" t="n">
        <f aca="false">B328-C328-E328-F328-G328</f>
        <v>55157000</v>
      </c>
      <c r="I328" s="7" t="n">
        <f aca="false">H328-IF(가정!$B$7=1,가정!$B$5,0)</f>
        <v>51157000</v>
      </c>
      <c r="J328" s="7" t="n">
        <f aca="false">MAX(0,I328)*가정!$B$6</f>
        <v>46041300</v>
      </c>
      <c r="K328" s="7" t="n">
        <f aca="false">가정!$B$5+J328</f>
        <v>50041300</v>
      </c>
      <c r="L328" s="7" t="n">
        <f aca="false">H328-K328</f>
        <v>5115700</v>
      </c>
      <c r="M328" s="8" t="n">
        <f aca="false">IF(B328=0,0,K328/B328)</f>
        <v>0.534229742713782</v>
      </c>
      <c r="N328" s="7" t="n">
        <f aca="false">K328/가정!$B$8</f>
        <v>250206.5</v>
      </c>
      <c r="O328" s="7" t="n">
        <f aca="false">IF(I328&gt;0,A328,"")</f>
        <v>323</v>
      </c>
      <c r="P328" s="7" t="n">
        <f aca="false">IF(L328&gt;=0,A328,"")</f>
        <v>323</v>
      </c>
      <c r="Q328" s="7" t="n">
        <f aca="false">IF(K328&gt;=가정!$B$32,A328,"")</f>
        <v>323</v>
      </c>
      <c r="R328" s="7" t="str">
        <f aca="false">IF(MAX(0,I328)*(1-가정!$B$6)*'1억 상환'!$B$6&gt;='1억 상환'!$B$5,A328,"")</f>
        <v/>
      </c>
    </row>
    <row r="329" customFormat="false" ht="15" hidden="false" customHeight="false" outlineLevel="0" collapsed="false">
      <c r="A329" s="7" t="n">
        <v>324</v>
      </c>
      <c r="B329" s="7" t="n">
        <f aca="false">A329*가정!$B$10</f>
        <v>93960000</v>
      </c>
      <c r="C329" s="7" t="n">
        <f aca="false">가정!$B$34</f>
        <v>3590000</v>
      </c>
      <c r="D329" s="7" t="n">
        <f aca="false">ROUNDUP(MAX(0,A329-가정!$B$18)/가정!$B$19,0)</f>
        <v>6</v>
      </c>
      <c r="E329" s="7" t="n">
        <f aca="false">D329*가정!$B$20+ROUNDUP(A329/가정!$B$22,0)*가정!$B$21+ROUNDUP(A329/가정!$B$24,0)*가정!$B$23</f>
        <v>34600000</v>
      </c>
      <c r="F329" s="7" t="n">
        <f aca="false">A329*가정!$B$26+B329*가정!$B$27</f>
        <v>324000</v>
      </c>
      <c r="G329" s="7" t="n">
        <f aca="false">B329*가정!$B$28</f>
        <v>0</v>
      </c>
      <c r="H329" s="7" t="n">
        <f aca="false">B329-C329-E329-F329-G329</f>
        <v>55446000</v>
      </c>
      <c r="I329" s="7" t="n">
        <f aca="false">H329-IF(가정!$B$7=1,가정!$B$5,0)</f>
        <v>51446000</v>
      </c>
      <c r="J329" s="7" t="n">
        <f aca="false">MAX(0,I329)*가정!$B$6</f>
        <v>46301400</v>
      </c>
      <c r="K329" s="7" t="n">
        <f aca="false">가정!$B$5+J329</f>
        <v>50301400</v>
      </c>
      <c r="L329" s="7" t="n">
        <f aca="false">H329-K329</f>
        <v>5144600</v>
      </c>
      <c r="M329" s="8" t="n">
        <f aca="false">IF(B329=0,0,K329/B329)</f>
        <v>0.535349084716901</v>
      </c>
      <c r="N329" s="7" t="n">
        <f aca="false">K329/가정!$B$8</f>
        <v>251507</v>
      </c>
      <c r="O329" s="7" t="n">
        <f aca="false">IF(I329&gt;0,A329,"")</f>
        <v>324</v>
      </c>
      <c r="P329" s="7" t="n">
        <f aca="false">IF(L329&gt;=0,A329,"")</f>
        <v>324</v>
      </c>
      <c r="Q329" s="7" t="n">
        <f aca="false">IF(K329&gt;=가정!$B$32,A329,"")</f>
        <v>324</v>
      </c>
      <c r="R329" s="7" t="str">
        <f aca="false">IF(MAX(0,I329)*(1-가정!$B$6)*'1억 상환'!$B$6&gt;='1억 상환'!$B$5,A329,"")</f>
        <v/>
      </c>
    </row>
    <row r="330" customFormat="false" ht="15" hidden="false" customHeight="false" outlineLevel="0" collapsed="false">
      <c r="A330" s="7" t="n">
        <v>325</v>
      </c>
      <c r="B330" s="7" t="n">
        <f aca="false">A330*가정!$B$10</f>
        <v>94250000</v>
      </c>
      <c r="C330" s="7" t="n">
        <f aca="false">가정!$B$34</f>
        <v>3590000</v>
      </c>
      <c r="D330" s="7" t="n">
        <f aca="false">ROUNDUP(MAX(0,A330-가정!$B$18)/가정!$B$19,0)</f>
        <v>6</v>
      </c>
      <c r="E330" s="7" t="n">
        <f aca="false">D330*가정!$B$20+ROUNDUP(A330/가정!$B$22,0)*가정!$B$21+ROUNDUP(A330/가정!$B$24,0)*가정!$B$23</f>
        <v>34600000</v>
      </c>
      <c r="F330" s="7" t="n">
        <f aca="false">A330*가정!$B$26+B330*가정!$B$27</f>
        <v>325000</v>
      </c>
      <c r="G330" s="7" t="n">
        <f aca="false">B330*가정!$B$28</f>
        <v>0</v>
      </c>
      <c r="H330" s="7" t="n">
        <f aca="false">B330-C330-E330-F330-G330</f>
        <v>55735000</v>
      </c>
      <c r="I330" s="7" t="n">
        <f aca="false">H330-IF(가정!$B$7=1,가정!$B$5,0)</f>
        <v>51735000</v>
      </c>
      <c r="J330" s="7" t="n">
        <f aca="false">MAX(0,I330)*가정!$B$6</f>
        <v>46561500</v>
      </c>
      <c r="K330" s="7" t="n">
        <f aca="false">가정!$B$5+J330</f>
        <v>50561500</v>
      </c>
      <c r="L330" s="7" t="n">
        <f aca="false">H330-K330</f>
        <v>5173500</v>
      </c>
      <c r="M330" s="8" t="n">
        <f aca="false">IF(B330=0,0,K330/B330)</f>
        <v>0.536461538461538</v>
      </c>
      <c r="N330" s="7" t="n">
        <f aca="false">K330/가정!$B$8</f>
        <v>252807.5</v>
      </c>
      <c r="O330" s="7" t="n">
        <f aca="false">IF(I330&gt;0,A330,"")</f>
        <v>325</v>
      </c>
      <c r="P330" s="7" t="n">
        <f aca="false">IF(L330&gt;=0,A330,"")</f>
        <v>325</v>
      </c>
      <c r="Q330" s="7" t="n">
        <f aca="false">IF(K330&gt;=가정!$B$32,A330,"")</f>
        <v>325</v>
      </c>
      <c r="R330" s="7" t="str">
        <f aca="false">IF(MAX(0,I330)*(1-가정!$B$6)*'1억 상환'!$B$6&gt;='1억 상환'!$B$5,A330,"")</f>
        <v/>
      </c>
    </row>
    <row r="331" customFormat="false" ht="15" hidden="false" customHeight="false" outlineLevel="0" collapsed="false">
      <c r="A331" s="7" t="n">
        <v>326</v>
      </c>
      <c r="B331" s="7" t="n">
        <f aca="false">A331*가정!$B$10</f>
        <v>94540000</v>
      </c>
      <c r="C331" s="7" t="n">
        <f aca="false">가정!$B$34</f>
        <v>3590000</v>
      </c>
      <c r="D331" s="7" t="n">
        <f aca="false">ROUNDUP(MAX(0,A331-가정!$B$18)/가정!$B$19,0)</f>
        <v>6</v>
      </c>
      <c r="E331" s="7" t="n">
        <f aca="false">D331*가정!$B$20+ROUNDUP(A331/가정!$B$22,0)*가정!$B$21+ROUNDUP(A331/가정!$B$24,0)*가정!$B$23</f>
        <v>34600000</v>
      </c>
      <c r="F331" s="7" t="n">
        <f aca="false">A331*가정!$B$26+B331*가정!$B$27</f>
        <v>326000</v>
      </c>
      <c r="G331" s="7" t="n">
        <f aca="false">B331*가정!$B$28</f>
        <v>0</v>
      </c>
      <c r="H331" s="7" t="n">
        <f aca="false">B331-C331-E331-F331-G331</f>
        <v>56024000</v>
      </c>
      <c r="I331" s="7" t="n">
        <f aca="false">H331-IF(가정!$B$7=1,가정!$B$5,0)</f>
        <v>52024000</v>
      </c>
      <c r="J331" s="7" t="n">
        <f aca="false">MAX(0,I331)*가정!$B$6</f>
        <v>46821600</v>
      </c>
      <c r="K331" s="7" t="n">
        <f aca="false">가정!$B$5+J331</f>
        <v>50821600</v>
      </c>
      <c r="L331" s="7" t="n">
        <f aca="false">H331-K331</f>
        <v>5202400</v>
      </c>
      <c r="M331" s="8" t="n">
        <f aca="false">IF(B331=0,0,K331/B331)</f>
        <v>0.537567167336577</v>
      </c>
      <c r="N331" s="7" t="n">
        <f aca="false">K331/가정!$B$8</f>
        <v>254108</v>
      </c>
      <c r="O331" s="7" t="n">
        <f aca="false">IF(I331&gt;0,A331,"")</f>
        <v>326</v>
      </c>
      <c r="P331" s="7" t="n">
        <f aca="false">IF(L331&gt;=0,A331,"")</f>
        <v>326</v>
      </c>
      <c r="Q331" s="7" t="n">
        <f aca="false">IF(K331&gt;=가정!$B$32,A331,"")</f>
        <v>326</v>
      </c>
      <c r="R331" s="7" t="str">
        <f aca="false">IF(MAX(0,I331)*(1-가정!$B$6)*'1억 상환'!$B$6&gt;='1억 상환'!$B$5,A331,"")</f>
        <v/>
      </c>
    </row>
    <row r="332" customFormat="false" ht="15" hidden="false" customHeight="false" outlineLevel="0" collapsed="false">
      <c r="A332" s="7" t="n">
        <v>327</v>
      </c>
      <c r="B332" s="7" t="n">
        <f aca="false">A332*가정!$B$10</f>
        <v>94830000</v>
      </c>
      <c r="C332" s="7" t="n">
        <f aca="false">가정!$B$34</f>
        <v>3590000</v>
      </c>
      <c r="D332" s="7" t="n">
        <f aca="false">ROUNDUP(MAX(0,A332-가정!$B$18)/가정!$B$19,0)</f>
        <v>6</v>
      </c>
      <c r="E332" s="7" t="n">
        <f aca="false">D332*가정!$B$20+ROUNDUP(A332/가정!$B$22,0)*가정!$B$21+ROUNDUP(A332/가정!$B$24,0)*가정!$B$23</f>
        <v>34600000</v>
      </c>
      <c r="F332" s="7" t="n">
        <f aca="false">A332*가정!$B$26+B332*가정!$B$27</f>
        <v>327000</v>
      </c>
      <c r="G332" s="7" t="n">
        <f aca="false">B332*가정!$B$28</f>
        <v>0</v>
      </c>
      <c r="H332" s="7" t="n">
        <f aca="false">B332-C332-E332-F332-G332</f>
        <v>56313000</v>
      </c>
      <c r="I332" s="7" t="n">
        <f aca="false">H332-IF(가정!$B$7=1,가정!$B$5,0)</f>
        <v>52313000</v>
      </c>
      <c r="J332" s="7" t="n">
        <f aca="false">MAX(0,I332)*가정!$B$6</f>
        <v>47081700</v>
      </c>
      <c r="K332" s="7" t="n">
        <f aca="false">가정!$B$5+J332</f>
        <v>51081700</v>
      </c>
      <c r="L332" s="7" t="n">
        <f aca="false">H332-K332</f>
        <v>5231300</v>
      </c>
      <c r="M332" s="8" t="n">
        <f aca="false">IF(B332=0,0,K332/B332)</f>
        <v>0.538666033955499</v>
      </c>
      <c r="N332" s="7" t="n">
        <f aca="false">K332/가정!$B$8</f>
        <v>255408.5</v>
      </c>
      <c r="O332" s="7" t="n">
        <f aca="false">IF(I332&gt;0,A332,"")</f>
        <v>327</v>
      </c>
      <c r="P332" s="7" t="n">
        <f aca="false">IF(L332&gt;=0,A332,"")</f>
        <v>327</v>
      </c>
      <c r="Q332" s="7" t="n">
        <f aca="false">IF(K332&gt;=가정!$B$32,A332,"")</f>
        <v>327</v>
      </c>
      <c r="R332" s="7" t="str">
        <f aca="false">IF(MAX(0,I332)*(1-가정!$B$6)*'1억 상환'!$B$6&gt;='1억 상환'!$B$5,A332,"")</f>
        <v/>
      </c>
    </row>
    <row r="333" customFormat="false" ht="15" hidden="false" customHeight="false" outlineLevel="0" collapsed="false">
      <c r="A333" s="7" t="n">
        <v>328</v>
      </c>
      <c r="B333" s="7" t="n">
        <f aca="false">A333*가정!$B$10</f>
        <v>95120000</v>
      </c>
      <c r="C333" s="7" t="n">
        <f aca="false">가정!$B$34</f>
        <v>3590000</v>
      </c>
      <c r="D333" s="7" t="n">
        <f aca="false">ROUNDUP(MAX(0,A333-가정!$B$18)/가정!$B$19,0)</f>
        <v>6</v>
      </c>
      <c r="E333" s="7" t="n">
        <f aca="false">D333*가정!$B$20+ROUNDUP(A333/가정!$B$22,0)*가정!$B$21+ROUNDUP(A333/가정!$B$24,0)*가정!$B$23</f>
        <v>34600000</v>
      </c>
      <c r="F333" s="7" t="n">
        <f aca="false">A333*가정!$B$26+B333*가정!$B$27</f>
        <v>328000</v>
      </c>
      <c r="G333" s="7" t="n">
        <f aca="false">B333*가정!$B$28</f>
        <v>0</v>
      </c>
      <c r="H333" s="7" t="n">
        <f aca="false">B333-C333-E333-F333-G333</f>
        <v>56602000</v>
      </c>
      <c r="I333" s="7" t="n">
        <f aca="false">H333-IF(가정!$B$7=1,가정!$B$5,0)</f>
        <v>52602000</v>
      </c>
      <c r="J333" s="7" t="n">
        <f aca="false">MAX(0,I333)*가정!$B$6</f>
        <v>47341800</v>
      </c>
      <c r="K333" s="7" t="n">
        <f aca="false">가정!$B$5+J333</f>
        <v>51341800</v>
      </c>
      <c r="L333" s="7" t="n">
        <f aca="false">H333-K333</f>
        <v>5260200</v>
      </c>
      <c r="M333" s="8" t="n">
        <f aca="false">IF(B333=0,0,K333/B333)</f>
        <v>0.539758200168209</v>
      </c>
      <c r="N333" s="7" t="n">
        <f aca="false">K333/가정!$B$8</f>
        <v>256709</v>
      </c>
      <c r="O333" s="7" t="n">
        <f aca="false">IF(I333&gt;0,A333,"")</f>
        <v>328</v>
      </c>
      <c r="P333" s="7" t="n">
        <f aca="false">IF(L333&gt;=0,A333,"")</f>
        <v>328</v>
      </c>
      <c r="Q333" s="7" t="n">
        <f aca="false">IF(K333&gt;=가정!$B$32,A333,"")</f>
        <v>328</v>
      </c>
      <c r="R333" s="7" t="str">
        <f aca="false">IF(MAX(0,I333)*(1-가정!$B$6)*'1억 상환'!$B$6&gt;='1억 상환'!$B$5,A333,"")</f>
        <v/>
      </c>
    </row>
    <row r="334" customFormat="false" ht="15" hidden="false" customHeight="false" outlineLevel="0" collapsed="false">
      <c r="A334" s="7" t="n">
        <v>329</v>
      </c>
      <c r="B334" s="7" t="n">
        <f aca="false">A334*가정!$B$10</f>
        <v>95410000</v>
      </c>
      <c r="C334" s="7" t="n">
        <f aca="false">가정!$B$34</f>
        <v>3590000</v>
      </c>
      <c r="D334" s="7" t="n">
        <f aca="false">ROUNDUP(MAX(0,A334-가정!$B$18)/가정!$B$19,0)</f>
        <v>6</v>
      </c>
      <c r="E334" s="7" t="n">
        <f aca="false">D334*가정!$B$20+ROUNDUP(A334/가정!$B$22,0)*가정!$B$21+ROUNDUP(A334/가정!$B$24,0)*가정!$B$23</f>
        <v>34600000</v>
      </c>
      <c r="F334" s="7" t="n">
        <f aca="false">A334*가정!$B$26+B334*가정!$B$27</f>
        <v>329000</v>
      </c>
      <c r="G334" s="7" t="n">
        <f aca="false">B334*가정!$B$28</f>
        <v>0</v>
      </c>
      <c r="H334" s="7" t="n">
        <f aca="false">B334-C334-E334-F334-G334</f>
        <v>56891000</v>
      </c>
      <c r="I334" s="7" t="n">
        <f aca="false">H334-IF(가정!$B$7=1,가정!$B$5,0)</f>
        <v>52891000</v>
      </c>
      <c r="J334" s="7" t="n">
        <f aca="false">MAX(0,I334)*가정!$B$6</f>
        <v>47601900</v>
      </c>
      <c r="K334" s="7" t="n">
        <f aca="false">가정!$B$5+J334</f>
        <v>51601900</v>
      </c>
      <c r="L334" s="7" t="n">
        <f aca="false">H334-K334</f>
        <v>5289100</v>
      </c>
      <c r="M334" s="8" t="n">
        <f aca="false">IF(B334=0,0,K334/B334)</f>
        <v>0.540843727072634</v>
      </c>
      <c r="N334" s="7" t="n">
        <f aca="false">K334/가정!$B$8</f>
        <v>258009.5</v>
      </c>
      <c r="O334" s="7" t="n">
        <f aca="false">IF(I334&gt;0,A334,"")</f>
        <v>329</v>
      </c>
      <c r="P334" s="7" t="n">
        <f aca="false">IF(L334&gt;=0,A334,"")</f>
        <v>329</v>
      </c>
      <c r="Q334" s="7" t="n">
        <f aca="false">IF(K334&gt;=가정!$B$32,A334,"")</f>
        <v>329</v>
      </c>
      <c r="R334" s="7" t="str">
        <f aca="false">IF(MAX(0,I334)*(1-가정!$B$6)*'1억 상환'!$B$6&gt;='1억 상환'!$B$5,A334,"")</f>
        <v/>
      </c>
    </row>
    <row r="335" customFormat="false" ht="15" hidden="false" customHeight="false" outlineLevel="0" collapsed="false">
      <c r="A335" s="7" t="n">
        <v>330</v>
      </c>
      <c r="B335" s="7" t="n">
        <f aca="false">A335*가정!$B$10</f>
        <v>95700000</v>
      </c>
      <c r="C335" s="7" t="n">
        <f aca="false">가정!$B$34</f>
        <v>3590000</v>
      </c>
      <c r="D335" s="7" t="n">
        <f aca="false">ROUNDUP(MAX(0,A335-가정!$B$18)/가정!$B$19,0)</f>
        <v>6</v>
      </c>
      <c r="E335" s="7" t="n">
        <f aca="false">D335*가정!$B$20+ROUNDUP(A335/가정!$B$22,0)*가정!$B$21+ROUNDUP(A335/가정!$B$24,0)*가정!$B$23</f>
        <v>34600000</v>
      </c>
      <c r="F335" s="7" t="n">
        <f aca="false">A335*가정!$B$26+B335*가정!$B$27</f>
        <v>330000</v>
      </c>
      <c r="G335" s="7" t="n">
        <f aca="false">B335*가정!$B$28</f>
        <v>0</v>
      </c>
      <c r="H335" s="7" t="n">
        <f aca="false">B335-C335-E335-F335-G335</f>
        <v>57180000</v>
      </c>
      <c r="I335" s="7" t="n">
        <f aca="false">H335-IF(가정!$B$7=1,가정!$B$5,0)</f>
        <v>53180000</v>
      </c>
      <c r="J335" s="7" t="n">
        <f aca="false">MAX(0,I335)*가정!$B$6</f>
        <v>47862000</v>
      </c>
      <c r="K335" s="7" t="n">
        <f aca="false">가정!$B$5+J335</f>
        <v>51862000</v>
      </c>
      <c r="L335" s="7" t="n">
        <f aca="false">H335-K335</f>
        <v>5318000</v>
      </c>
      <c r="M335" s="8" t="n">
        <f aca="false">IF(B335=0,0,K335/B335)</f>
        <v>0.541922675026123</v>
      </c>
      <c r="N335" s="7" t="n">
        <f aca="false">K335/가정!$B$8</f>
        <v>259310</v>
      </c>
      <c r="O335" s="7" t="n">
        <f aca="false">IF(I335&gt;0,A335,"")</f>
        <v>330</v>
      </c>
      <c r="P335" s="7" t="n">
        <f aca="false">IF(L335&gt;=0,A335,"")</f>
        <v>330</v>
      </c>
      <c r="Q335" s="7" t="n">
        <f aca="false">IF(K335&gt;=가정!$B$32,A335,"")</f>
        <v>330</v>
      </c>
      <c r="R335" s="7" t="str">
        <f aca="false">IF(MAX(0,I335)*(1-가정!$B$6)*'1억 상환'!$B$6&gt;='1억 상환'!$B$5,A335,"")</f>
        <v/>
      </c>
    </row>
    <row r="336" customFormat="false" ht="15" hidden="false" customHeight="false" outlineLevel="0" collapsed="false">
      <c r="A336" s="7" t="n">
        <v>331</v>
      </c>
      <c r="B336" s="7" t="n">
        <f aca="false">A336*가정!$B$10</f>
        <v>95990000</v>
      </c>
      <c r="C336" s="7" t="n">
        <f aca="false">가정!$B$34</f>
        <v>3590000</v>
      </c>
      <c r="D336" s="7" t="n">
        <f aca="false">ROUNDUP(MAX(0,A336-가정!$B$18)/가정!$B$19,0)</f>
        <v>6</v>
      </c>
      <c r="E336" s="7" t="n">
        <f aca="false">D336*가정!$B$20+ROUNDUP(A336/가정!$B$22,0)*가정!$B$21+ROUNDUP(A336/가정!$B$24,0)*가정!$B$23</f>
        <v>34600000</v>
      </c>
      <c r="F336" s="7" t="n">
        <f aca="false">A336*가정!$B$26+B336*가정!$B$27</f>
        <v>331000</v>
      </c>
      <c r="G336" s="7" t="n">
        <f aca="false">B336*가정!$B$28</f>
        <v>0</v>
      </c>
      <c r="H336" s="7" t="n">
        <f aca="false">B336-C336-E336-F336-G336</f>
        <v>57469000</v>
      </c>
      <c r="I336" s="7" t="n">
        <f aca="false">H336-IF(가정!$B$7=1,가정!$B$5,0)</f>
        <v>53469000</v>
      </c>
      <c r="J336" s="7" t="n">
        <f aca="false">MAX(0,I336)*가정!$B$6</f>
        <v>48122100</v>
      </c>
      <c r="K336" s="7" t="n">
        <f aca="false">가정!$B$5+J336</f>
        <v>52122100</v>
      </c>
      <c r="L336" s="7" t="n">
        <f aca="false">H336-K336</f>
        <v>5346900</v>
      </c>
      <c r="M336" s="8" t="n">
        <f aca="false">IF(B336=0,0,K336/B336)</f>
        <v>0.542995103656631</v>
      </c>
      <c r="N336" s="7" t="n">
        <f aca="false">K336/가정!$B$8</f>
        <v>260610.5</v>
      </c>
      <c r="O336" s="7" t="n">
        <f aca="false">IF(I336&gt;0,A336,"")</f>
        <v>331</v>
      </c>
      <c r="P336" s="7" t="n">
        <f aca="false">IF(L336&gt;=0,A336,"")</f>
        <v>331</v>
      </c>
      <c r="Q336" s="7" t="n">
        <f aca="false">IF(K336&gt;=가정!$B$32,A336,"")</f>
        <v>331</v>
      </c>
      <c r="R336" s="7" t="str">
        <f aca="false">IF(MAX(0,I336)*(1-가정!$B$6)*'1억 상환'!$B$6&gt;='1억 상환'!$B$5,A336,"")</f>
        <v/>
      </c>
    </row>
    <row r="337" customFormat="false" ht="15" hidden="false" customHeight="false" outlineLevel="0" collapsed="false">
      <c r="A337" s="7" t="n">
        <v>332</v>
      </c>
      <c r="B337" s="7" t="n">
        <f aca="false">A337*가정!$B$10</f>
        <v>96280000</v>
      </c>
      <c r="C337" s="7" t="n">
        <f aca="false">가정!$B$34</f>
        <v>3590000</v>
      </c>
      <c r="D337" s="7" t="n">
        <f aca="false">ROUNDUP(MAX(0,A337-가정!$B$18)/가정!$B$19,0)</f>
        <v>6</v>
      </c>
      <c r="E337" s="7" t="n">
        <f aca="false">D337*가정!$B$20+ROUNDUP(A337/가정!$B$22,0)*가정!$B$21+ROUNDUP(A337/가정!$B$24,0)*가정!$B$23</f>
        <v>34600000</v>
      </c>
      <c r="F337" s="7" t="n">
        <f aca="false">A337*가정!$B$26+B337*가정!$B$27</f>
        <v>332000</v>
      </c>
      <c r="G337" s="7" t="n">
        <f aca="false">B337*가정!$B$28</f>
        <v>0</v>
      </c>
      <c r="H337" s="7" t="n">
        <f aca="false">B337-C337-E337-F337-G337</f>
        <v>57758000</v>
      </c>
      <c r="I337" s="7" t="n">
        <f aca="false">H337-IF(가정!$B$7=1,가정!$B$5,0)</f>
        <v>53758000</v>
      </c>
      <c r="J337" s="7" t="n">
        <f aca="false">MAX(0,I337)*가정!$B$6</f>
        <v>48382200</v>
      </c>
      <c r="K337" s="7" t="n">
        <f aca="false">가정!$B$5+J337</f>
        <v>52382200</v>
      </c>
      <c r="L337" s="7" t="n">
        <f aca="false">H337-K337</f>
        <v>5375800</v>
      </c>
      <c r="M337" s="8" t="n">
        <f aca="false">IF(B337=0,0,K337/B337)</f>
        <v>0.544061071873702</v>
      </c>
      <c r="N337" s="7" t="n">
        <f aca="false">K337/가정!$B$8</f>
        <v>261911</v>
      </c>
      <c r="O337" s="7" t="n">
        <f aca="false">IF(I337&gt;0,A337,"")</f>
        <v>332</v>
      </c>
      <c r="P337" s="7" t="n">
        <f aca="false">IF(L337&gt;=0,A337,"")</f>
        <v>332</v>
      </c>
      <c r="Q337" s="7" t="n">
        <f aca="false">IF(K337&gt;=가정!$B$32,A337,"")</f>
        <v>332</v>
      </c>
      <c r="R337" s="7" t="str">
        <f aca="false">IF(MAX(0,I337)*(1-가정!$B$6)*'1억 상환'!$B$6&gt;='1억 상환'!$B$5,A337,"")</f>
        <v/>
      </c>
    </row>
    <row r="338" customFormat="false" ht="15" hidden="false" customHeight="false" outlineLevel="0" collapsed="false">
      <c r="A338" s="7" t="n">
        <v>333</v>
      </c>
      <c r="B338" s="7" t="n">
        <f aca="false">A338*가정!$B$10</f>
        <v>96570000</v>
      </c>
      <c r="C338" s="7" t="n">
        <f aca="false">가정!$B$34</f>
        <v>3590000</v>
      </c>
      <c r="D338" s="7" t="n">
        <f aca="false">ROUNDUP(MAX(0,A338-가정!$B$18)/가정!$B$19,0)</f>
        <v>6</v>
      </c>
      <c r="E338" s="7" t="n">
        <f aca="false">D338*가정!$B$20+ROUNDUP(A338/가정!$B$22,0)*가정!$B$21+ROUNDUP(A338/가정!$B$24,0)*가정!$B$23</f>
        <v>34600000</v>
      </c>
      <c r="F338" s="7" t="n">
        <f aca="false">A338*가정!$B$26+B338*가정!$B$27</f>
        <v>333000</v>
      </c>
      <c r="G338" s="7" t="n">
        <f aca="false">B338*가정!$B$28</f>
        <v>0</v>
      </c>
      <c r="H338" s="7" t="n">
        <f aca="false">B338-C338-E338-F338-G338</f>
        <v>58047000</v>
      </c>
      <c r="I338" s="7" t="n">
        <f aca="false">H338-IF(가정!$B$7=1,가정!$B$5,0)</f>
        <v>54047000</v>
      </c>
      <c r="J338" s="7" t="n">
        <f aca="false">MAX(0,I338)*가정!$B$6</f>
        <v>48642300</v>
      </c>
      <c r="K338" s="7" t="n">
        <f aca="false">가정!$B$5+J338</f>
        <v>52642300</v>
      </c>
      <c r="L338" s="7" t="n">
        <f aca="false">H338-K338</f>
        <v>5404700</v>
      </c>
      <c r="M338" s="8" t="n">
        <f aca="false">IF(B338=0,0,K338/B338)</f>
        <v>0.545120637879259</v>
      </c>
      <c r="N338" s="7" t="n">
        <f aca="false">K338/가정!$B$8</f>
        <v>263211.5</v>
      </c>
      <c r="O338" s="7" t="n">
        <f aca="false">IF(I338&gt;0,A338,"")</f>
        <v>333</v>
      </c>
      <c r="P338" s="7" t="n">
        <f aca="false">IF(L338&gt;=0,A338,"")</f>
        <v>333</v>
      </c>
      <c r="Q338" s="7" t="n">
        <f aca="false">IF(K338&gt;=가정!$B$32,A338,"")</f>
        <v>333</v>
      </c>
      <c r="R338" s="7" t="str">
        <f aca="false">IF(MAX(0,I338)*(1-가정!$B$6)*'1억 상환'!$B$6&gt;='1억 상환'!$B$5,A338,"")</f>
        <v/>
      </c>
    </row>
    <row r="339" customFormat="false" ht="15" hidden="false" customHeight="false" outlineLevel="0" collapsed="false">
      <c r="A339" s="7" t="n">
        <v>334</v>
      </c>
      <c r="B339" s="7" t="n">
        <f aca="false">A339*가정!$B$10</f>
        <v>96860000</v>
      </c>
      <c r="C339" s="7" t="n">
        <f aca="false">가정!$B$34</f>
        <v>3590000</v>
      </c>
      <c r="D339" s="7" t="n">
        <f aca="false">ROUNDUP(MAX(0,A339-가정!$B$18)/가정!$B$19,0)</f>
        <v>6</v>
      </c>
      <c r="E339" s="7" t="n">
        <f aca="false">D339*가정!$B$20+ROUNDUP(A339/가정!$B$22,0)*가정!$B$21+ROUNDUP(A339/가정!$B$24,0)*가정!$B$23</f>
        <v>34600000</v>
      </c>
      <c r="F339" s="7" t="n">
        <f aca="false">A339*가정!$B$26+B339*가정!$B$27</f>
        <v>334000</v>
      </c>
      <c r="G339" s="7" t="n">
        <f aca="false">B339*가정!$B$28</f>
        <v>0</v>
      </c>
      <c r="H339" s="7" t="n">
        <f aca="false">B339-C339-E339-F339-G339</f>
        <v>58336000</v>
      </c>
      <c r="I339" s="7" t="n">
        <f aca="false">H339-IF(가정!$B$7=1,가정!$B$5,0)</f>
        <v>54336000</v>
      </c>
      <c r="J339" s="7" t="n">
        <f aca="false">MAX(0,I339)*가정!$B$6</f>
        <v>48902400</v>
      </c>
      <c r="K339" s="7" t="n">
        <f aca="false">가정!$B$5+J339</f>
        <v>52902400</v>
      </c>
      <c r="L339" s="7" t="n">
        <f aca="false">H339-K339</f>
        <v>5433600</v>
      </c>
      <c r="M339" s="8" t="n">
        <f aca="false">IF(B339=0,0,K339/B339)</f>
        <v>0.546173859178195</v>
      </c>
      <c r="N339" s="7" t="n">
        <f aca="false">K339/가정!$B$8</f>
        <v>264512</v>
      </c>
      <c r="O339" s="7" t="n">
        <f aca="false">IF(I339&gt;0,A339,"")</f>
        <v>334</v>
      </c>
      <c r="P339" s="7" t="n">
        <f aca="false">IF(L339&gt;=0,A339,"")</f>
        <v>334</v>
      </c>
      <c r="Q339" s="7" t="n">
        <f aca="false">IF(K339&gt;=가정!$B$32,A339,"")</f>
        <v>334</v>
      </c>
      <c r="R339" s="7" t="str">
        <f aca="false">IF(MAX(0,I339)*(1-가정!$B$6)*'1억 상환'!$B$6&gt;='1억 상환'!$B$5,A339,"")</f>
        <v/>
      </c>
    </row>
    <row r="340" customFormat="false" ht="15" hidden="false" customHeight="false" outlineLevel="0" collapsed="false">
      <c r="A340" s="7" t="n">
        <v>335</v>
      </c>
      <c r="B340" s="7" t="n">
        <f aca="false">A340*가정!$B$10</f>
        <v>97150000</v>
      </c>
      <c r="C340" s="7" t="n">
        <f aca="false">가정!$B$34</f>
        <v>3590000</v>
      </c>
      <c r="D340" s="7" t="n">
        <f aca="false">ROUNDUP(MAX(0,A340-가정!$B$18)/가정!$B$19,0)</f>
        <v>6</v>
      </c>
      <c r="E340" s="7" t="n">
        <f aca="false">D340*가정!$B$20+ROUNDUP(A340/가정!$B$22,0)*가정!$B$21+ROUNDUP(A340/가정!$B$24,0)*가정!$B$23</f>
        <v>34600000</v>
      </c>
      <c r="F340" s="7" t="n">
        <f aca="false">A340*가정!$B$26+B340*가정!$B$27</f>
        <v>335000</v>
      </c>
      <c r="G340" s="7" t="n">
        <f aca="false">B340*가정!$B$28</f>
        <v>0</v>
      </c>
      <c r="H340" s="7" t="n">
        <f aca="false">B340-C340-E340-F340-G340</f>
        <v>58625000</v>
      </c>
      <c r="I340" s="7" t="n">
        <f aca="false">H340-IF(가정!$B$7=1,가정!$B$5,0)</f>
        <v>54625000</v>
      </c>
      <c r="J340" s="7" t="n">
        <f aca="false">MAX(0,I340)*가정!$B$6</f>
        <v>49162500</v>
      </c>
      <c r="K340" s="7" t="n">
        <f aca="false">가정!$B$5+J340</f>
        <v>53162500</v>
      </c>
      <c r="L340" s="7" t="n">
        <f aca="false">H340-K340</f>
        <v>5462500</v>
      </c>
      <c r="M340" s="8" t="n">
        <f aca="false">IF(B340=0,0,K340/B340)</f>
        <v>0.54722079258878</v>
      </c>
      <c r="N340" s="7" t="n">
        <f aca="false">K340/가정!$B$8</f>
        <v>265812.5</v>
      </c>
      <c r="O340" s="7" t="n">
        <f aca="false">IF(I340&gt;0,A340,"")</f>
        <v>335</v>
      </c>
      <c r="P340" s="7" t="n">
        <f aca="false">IF(L340&gt;=0,A340,"")</f>
        <v>335</v>
      </c>
      <c r="Q340" s="7" t="n">
        <f aca="false">IF(K340&gt;=가정!$B$32,A340,"")</f>
        <v>335</v>
      </c>
      <c r="R340" s="7" t="str">
        <f aca="false">IF(MAX(0,I340)*(1-가정!$B$6)*'1억 상환'!$B$6&gt;='1억 상환'!$B$5,A340,"")</f>
        <v/>
      </c>
    </row>
    <row r="341" customFormat="false" ht="15" hidden="false" customHeight="false" outlineLevel="0" collapsed="false">
      <c r="A341" s="7" t="n">
        <v>336</v>
      </c>
      <c r="B341" s="7" t="n">
        <f aca="false">A341*가정!$B$10</f>
        <v>97440000</v>
      </c>
      <c r="C341" s="7" t="n">
        <f aca="false">가정!$B$34</f>
        <v>3590000</v>
      </c>
      <c r="D341" s="7" t="n">
        <f aca="false">ROUNDUP(MAX(0,A341-가정!$B$18)/가정!$B$19,0)</f>
        <v>6</v>
      </c>
      <c r="E341" s="7" t="n">
        <f aca="false">D341*가정!$B$20+ROUNDUP(A341/가정!$B$22,0)*가정!$B$21+ROUNDUP(A341/가정!$B$24,0)*가정!$B$23</f>
        <v>34600000</v>
      </c>
      <c r="F341" s="7" t="n">
        <f aca="false">A341*가정!$B$26+B341*가정!$B$27</f>
        <v>336000</v>
      </c>
      <c r="G341" s="7" t="n">
        <f aca="false">B341*가정!$B$28</f>
        <v>0</v>
      </c>
      <c r="H341" s="7" t="n">
        <f aca="false">B341-C341-E341-F341-G341</f>
        <v>58914000</v>
      </c>
      <c r="I341" s="7" t="n">
        <f aca="false">H341-IF(가정!$B$7=1,가정!$B$5,0)</f>
        <v>54914000</v>
      </c>
      <c r="J341" s="7" t="n">
        <f aca="false">MAX(0,I341)*가정!$B$6</f>
        <v>49422600</v>
      </c>
      <c r="K341" s="7" t="n">
        <f aca="false">가정!$B$5+J341</f>
        <v>53422600</v>
      </c>
      <c r="L341" s="7" t="n">
        <f aca="false">H341-K341</f>
        <v>5491400</v>
      </c>
      <c r="M341" s="8" t="n">
        <f aca="false">IF(B341=0,0,K341/B341)</f>
        <v>0.548261494252874</v>
      </c>
      <c r="N341" s="7" t="n">
        <f aca="false">K341/가정!$B$8</f>
        <v>267113</v>
      </c>
      <c r="O341" s="7" t="n">
        <f aca="false">IF(I341&gt;0,A341,"")</f>
        <v>336</v>
      </c>
      <c r="P341" s="7" t="n">
        <f aca="false">IF(L341&gt;=0,A341,"")</f>
        <v>336</v>
      </c>
      <c r="Q341" s="7" t="n">
        <f aca="false">IF(K341&gt;=가정!$B$32,A341,"")</f>
        <v>336</v>
      </c>
      <c r="R341" s="7" t="str">
        <f aca="false">IF(MAX(0,I341)*(1-가정!$B$6)*'1억 상환'!$B$6&gt;='1억 상환'!$B$5,A341,"")</f>
        <v/>
      </c>
    </row>
    <row r="342" customFormat="false" ht="15" hidden="false" customHeight="false" outlineLevel="0" collapsed="false">
      <c r="A342" s="7" t="n">
        <v>337</v>
      </c>
      <c r="B342" s="7" t="n">
        <f aca="false">A342*가정!$B$10</f>
        <v>97730000</v>
      </c>
      <c r="C342" s="7" t="n">
        <f aca="false">가정!$B$34</f>
        <v>3590000</v>
      </c>
      <c r="D342" s="7" t="n">
        <f aca="false">ROUNDUP(MAX(0,A342-가정!$B$18)/가정!$B$19,0)</f>
        <v>6</v>
      </c>
      <c r="E342" s="7" t="n">
        <f aca="false">D342*가정!$B$20+ROUNDUP(A342/가정!$B$22,0)*가정!$B$21+ROUNDUP(A342/가정!$B$24,0)*가정!$B$23</f>
        <v>34600000</v>
      </c>
      <c r="F342" s="7" t="n">
        <f aca="false">A342*가정!$B$26+B342*가정!$B$27</f>
        <v>337000</v>
      </c>
      <c r="G342" s="7" t="n">
        <f aca="false">B342*가정!$B$28</f>
        <v>0</v>
      </c>
      <c r="H342" s="7" t="n">
        <f aca="false">B342-C342-E342-F342-G342</f>
        <v>59203000</v>
      </c>
      <c r="I342" s="7" t="n">
        <f aca="false">H342-IF(가정!$B$7=1,가정!$B$5,0)</f>
        <v>55203000</v>
      </c>
      <c r="J342" s="7" t="n">
        <f aca="false">MAX(0,I342)*가정!$B$6</f>
        <v>49682700</v>
      </c>
      <c r="K342" s="7" t="n">
        <f aca="false">가정!$B$5+J342</f>
        <v>53682700</v>
      </c>
      <c r="L342" s="7" t="n">
        <f aca="false">H342-K342</f>
        <v>5520300</v>
      </c>
      <c r="M342" s="8" t="n">
        <f aca="false">IF(B342=0,0,K342/B342)</f>
        <v>0.549296019645963</v>
      </c>
      <c r="N342" s="7" t="n">
        <f aca="false">K342/가정!$B$8</f>
        <v>268413.5</v>
      </c>
      <c r="O342" s="7" t="n">
        <f aca="false">IF(I342&gt;0,A342,"")</f>
        <v>337</v>
      </c>
      <c r="P342" s="7" t="n">
        <f aca="false">IF(L342&gt;=0,A342,"")</f>
        <v>337</v>
      </c>
      <c r="Q342" s="7" t="n">
        <f aca="false">IF(K342&gt;=가정!$B$32,A342,"")</f>
        <v>337</v>
      </c>
      <c r="R342" s="7" t="str">
        <f aca="false">IF(MAX(0,I342)*(1-가정!$B$6)*'1억 상환'!$B$6&gt;='1억 상환'!$B$5,A342,"")</f>
        <v/>
      </c>
    </row>
    <row r="343" customFormat="false" ht="15" hidden="false" customHeight="false" outlineLevel="0" collapsed="false">
      <c r="A343" s="7" t="n">
        <v>338</v>
      </c>
      <c r="B343" s="7" t="n">
        <f aca="false">A343*가정!$B$10</f>
        <v>98020000</v>
      </c>
      <c r="C343" s="7" t="n">
        <f aca="false">가정!$B$34</f>
        <v>3590000</v>
      </c>
      <c r="D343" s="7" t="n">
        <f aca="false">ROUNDUP(MAX(0,A343-가정!$B$18)/가정!$B$19,0)</f>
        <v>6</v>
      </c>
      <c r="E343" s="7" t="n">
        <f aca="false">D343*가정!$B$20+ROUNDUP(A343/가정!$B$22,0)*가정!$B$21+ROUNDUP(A343/가정!$B$24,0)*가정!$B$23</f>
        <v>34600000</v>
      </c>
      <c r="F343" s="7" t="n">
        <f aca="false">A343*가정!$B$26+B343*가정!$B$27</f>
        <v>338000</v>
      </c>
      <c r="G343" s="7" t="n">
        <f aca="false">B343*가정!$B$28</f>
        <v>0</v>
      </c>
      <c r="H343" s="7" t="n">
        <f aca="false">B343-C343-E343-F343-G343</f>
        <v>59492000</v>
      </c>
      <c r="I343" s="7" t="n">
        <f aca="false">H343-IF(가정!$B$7=1,가정!$B$5,0)</f>
        <v>55492000</v>
      </c>
      <c r="J343" s="7" t="n">
        <f aca="false">MAX(0,I343)*가정!$B$6</f>
        <v>49942800</v>
      </c>
      <c r="K343" s="7" t="n">
        <f aca="false">가정!$B$5+J343</f>
        <v>53942800</v>
      </c>
      <c r="L343" s="7" t="n">
        <f aca="false">H343-K343</f>
        <v>5549200</v>
      </c>
      <c r="M343" s="8" t="n">
        <f aca="false">IF(B343=0,0,K343/B343)</f>
        <v>0.550324423587023</v>
      </c>
      <c r="N343" s="7" t="n">
        <f aca="false">K343/가정!$B$8</f>
        <v>269714</v>
      </c>
      <c r="O343" s="7" t="n">
        <f aca="false">IF(I343&gt;0,A343,"")</f>
        <v>338</v>
      </c>
      <c r="P343" s="7" t="n">
        <f aca="false">IF(L343&gt;=0,A343,"")</f>
        <v>338</v>
      </c>
      <c r="Q343" s="7" t="n">
        <f aca="false">IF(K343&gt;=가정!$B$32,A343,"")</f>
        <v>338</v>
      </c>
      <c r="R343" s="7" t="str">
        <f aca="false">IF(MAX(0,I343)*(1-가정!$B$6)*'1억 상환'!$B$6&gt;='1억 상환'!$B$5,A343,"")</f>
        <v/>
      </c>
    </row>
    <row r="344" customFormat="false" ht="15" hidden="false" customHeight="false" outlineLevel="0" collapsed="false">
      <c r="A344" s="7" t="n">
        <v>339</v>
      </c>
      <c r="B344" s="7" t="n">
        <f aca="false">A344*가정!$B$10</f>
        <v>98310000</v>
      </c>
      <c r="C344" s="7" t="n">
        <f aca="false">가정!$B$34</f>
        <v>3590000</v>
      </c>
      <c r="D344" s="7" t="n">
        <f aca="false">ROUNDUP(MAX(0,A344-가정!$B$18)/가정!$B$19,0)</f>
        <v>6</v>
      </c>
      <c r="E344" s="7" t="n">
        <f aca="false">D344*가정!$B$20+ROUNDUP(A344/가정!$B$22,0)*가정!$B$21+ROUNDUP(A344/가정!$B$24,0)*가정!$B$23</f>
        <v>34600000</v>
      </c>
      <c r="F344" s="7" t="n">
        <f aca="false">A344*가정!$B$26+B344*가정!$B$27</f>
        <v>339000</v>
      </c>
      <c r="G344" s="7" t="n">
        <f aca="false">B344*가정!$B$28</f>
        <v>0</v>
      </c>
      <c r="H344" s="7" t="n">
        <f aca="false">B344-C344-E344-F344-G344</f>
        <v>59781000</v>
      </c>
      <c r="I344" s="7" t="n">
        <f aca="false">H344-IF(가정!$B$7=1,가정!$B$5,0)</f>
        <v>55781000</v>
      </c>
      <c r="J344" s="7" t="n">
        <f aca="false">MAX(0,I344)*가정!$B$6</f>
        <v>50202900</v>
      </c>
      <c r="K344" s="7" t="n">
        <f aca="false">가정!$B$5+J344</f>
        <v>54202900</v>
      </c>
      <c r="L344" s="7" t="n">
        <f aca="false">H344-K344</f>
        <v>5578100</v>
      </c>
      <c r="M344" s="8" t="n">
        <f aca="false">IF(B344=0,0,K344/B344)</f>
        <v>0.551346760248195</v>
      </c>
      <c r="N344" s="7" t="n">
        <f aca="false">K344/가정!$B$8</f>
        <v>271014.5</v>
      </c>
      <c r="O344" s="7" t="n">
        <f aca="false">IF(I344&gt;0,A344,"")</f>
        <v>339</v>
      </c>
      <c r="P344" s="7" t="n">
        <f aca="false">IF(L344&gt;=0,A344,"")</f>
        <v>339</v>
      </c>
      <c r="Q344" s="7" t="n">
        <f aca="false">IF(K344&gt;=가정!$B$32,A344,"")</f>
        <v>339</v>
      </c>
      <c r="R344" s="7" t="str">
        <f aca="false">IF(MAX(0,I344)*(1-가정!$B$6)*'1억 상환'!$B$6&gt;='1억 상환'!$B$5,A344,"")</f>
        <v/>
      </c>
    </row>
    <row r="345" customFormat="false" ht="15" hidden="false" customHeight="false" outlineLevel="0" collapsed="false">
      <c r="A345" s="7" t="n">
        <v>340</v>
      </c>
      <c r="B345" s="7" t="n">
        <f aca="false">A345*가정!$B$10</f>
        <v>98600000</v>
      </c>
      <c r="C345" s="7" t="n">
        <f aca="false">가정!$B$34</f>
        <v>3590000</v>
      </c>
      <c r="D345" s="7" t="n">
        <f aca="false">ROUNDUP(MAX(0,A345-가정!$B$18)/가정!$B$19,0)</f>
        <v>6</v>
      </c>
      <c r="E345" s="7" t="n">
        <f aca="false">D345*가정!$B$20+ROUNDUP(A345/가정!$B$22,0)*가정!$B$21+ROUNDUP(A345/가정!$B$24,0)*가정!$B$23</f>
        <v>34600000</v>
      </c>
      <c r="F345" s="7" t="n">
        <f aca="false">A345*가정!$B$26+B345*가정!$B$27</f>
        <v>340000</v>
      </c>
      <c r="G345" s="7" t="n">
        <f aca="false">B345*가정!$B$28</f>
        <v>0</v>
      </c>
      <c r="H345" s="7" t="n">
        <f aca="false">B345-C345-E345-F345-G345</f>
        <v>60070000</v>
      </c>
      <c r="I345" s="7" t="n">
        <f aca="false">H345-IF(가정!$B$7=1,가정!$B$5,0)</f>
        <v>56070000</v>
      </c>
      <c r="J345" s="7" t="n">
        <f aca="false">MAX(0,I345)*가정!$B$6</f>
        <v>50463000</v>
      </c>
      <c r="K345" s="7" t="n">
        <f aca="false">가정!$B$5+J345</f>
        <v>54463000</v>
      </c>
      <c r="L345" s="7" t="n">
        <f aca="false">H345-K345</f>
        <v>5607000</v>
      </c>
      <c r="M345" s="8" t="n">
        <f aca="false">IF(B345=0,0,K345/B345)</f>
        <v>0.5523630831643</v>
      </c>
      <c r="N345" s="7" t="n">
        <f aca="false">K345/가정!$B$8</f>
        <v>272315</v>
      </c>
      <c r="O345" s="7" t="n">
        <f aca="false">IF(I345&gt;0,A345,"")</f>
        <v>340</v>
      </c>
      <c r="P345" s="7" t="n">
        <f aca="false">IF(L345&gt;=0,A345,"")</f>
        <v>340</v>
      </c>
      <c r="Q345" s="7" t="n">
        <f aca="false">IF(K345&gt;=가정!$B$32,A345,"")</f>
        <v>340</v>
      </c>
      <c r="R345" s="7" t="str">
        <f aca="false">IF(MAX(0,I345)*(1-가정!$B$6)*'1억 상환'!$B$6&gt;='1억 상환'!$B$5,A345,"")</f>
        <v/>
      </c>
    </row>
    <row r="346" customFormat="false" ht="15" hidden="false" customHeight="false" outlineLevel="0" collapsed="false">
      <c r="A346" s="7" t="n">
        <v>341</v>
      </c>
      <c r="B346" s="7" t="n">
        <f aca="false">A346*가정!$B$10</f>
        <v>98890000</v>
      </c>
      <c r="C346" s="7" t="n">
        <f aca="false">가정!$B$34</f>
        <v>3590000</v>
      </c>
      <c r="D346" s="7" t="n">
        <f aca="false">ROUNDUP(MAX(0,A346-가정!$B$18)/가정!$B$19,0)</f>
        <v>6</v>
      </c>
      <c r="E346" s="7" t="n">
        <f aca="false">D346*가정!$B$20+ROUNDUP(A346/가정!$B$22,0)*가정!$B$21+ROUNDUP(A346/가정!$B$24,0)*가정!$B$23</f>
        <v>34600000</v>
      </c>
      <c r="F346" s="7" t="n">
        <f aca="false">A346*가정!$B$26+B346*가정!$B$27</f>
        <v>341000</v>
      </c>
      <c r="G346" s="7" t="n">
        <f aca="false">B346*가정!$B$28</f>
        <v>0</v>
      </c>
      <c r="H346" s="7" t="n">
        <f aca="false">B346-C346-E346-F346-G346</f>
        <v>60359000</v>
      </c>
      <c r="I346" s="7" t="n">
        <f aca="false">H346-IF(가정!$B$7=1,가정!$B$5,0)</f>
        <v>56359000</v>
      </c>
      <c r="J346" s="7" t="n">
        <f aca="false">MAX(0,I346)*가정!$B$6</f>
        <v>50723100</v>
      </c>
      <c r="K346" s="7" t="n">
        <f aca="false">가정!$B$5+J346</f>
        <v>54723100</v>
      </c>
      <c r="L346" s="7" t="n">
        <f aca="false">H346-K346</f>
        <v>5635900</v>
      </c>
      <c r="M346" s="8" t="n">
        <f aca="false">IF(B346=0,0,K346/B346)</f>
        <v>0.553373445242188</v>
      </c>
      <c r="N346" s="7" t="n">
        <f aca="false">K346/가정!$B$8</f>
        <v>273615.5</v>
      </c>
      <c r="O346" s="7" t="n">
        <f aca="false">IF(I346&gt;0,A346,"")</f>
        <v>341</v>
      </c>
      <c r="P346" s="7" t="n">
        <f aca="false">IF(L346&gt;=0,A346,"")</f>
        <v>341</v>
      </c>
      <c r="Q346" s="7" t="n">
        <f aca="false">IF(K346&gt;=가정!$B$32,A346,"")</f>
        <v>341</v>
      </c>
      <c r="R346" s="7" t="str">
        <f aca="false">IF(MAX(0,I346)*(1-가정!$B$6)*'1억 상환'!$B$6&gt;='1억 상환'!$B$5,A346,"")</f>
        <v/>
      </c>
    </row>
    <row r="347" customFormat="false" ht="15" hidden="false" customHeight="false" outlineLevel="0" collapsed="false">
      <c r="A347" s="7" t="n">
        <v>342</v>
      </c>
      <c r="B347" s="7" t="n">
        <f aca="false">A347*가정!$B$10</f>
        <v>99180000</v>
      </c>
      <c r="C347" s="7" t="n">
        <f aca="false">가정!$B$34</f>
        <v>3590000</v>
      </c>
      <c r="D347" s="7" t="n">
        <f aca="false">ROUNDUP(MAX(0,A347-가정!$B$18)/가정!$B$19,0)</f>
        <v>6</v>
      </c>
      <c r="E347" s="7" t="n">
        <f aca="false">D347*가정!$B$20+ROUNDUP(A347/가정!$B$22,0)*가정!$B$21+ROUNDUP(A347/가정!$B$24,0)*가정!$B$23</f>
        <v>34600000</v>
      </c>
      <c r="F347" s="7" t="n">
        <f aca="false">A347*가정!$B$26+B347*가정!$B$27</f>
        <v>342000</v>
      </c>
      <c r="G347" s="7" t="n">
        <f aca="false">B347*가정!$B$28</f>
        <v>0</v>
      </c>
      <c r="H347" s="7" t="n">
        <f aca="false">B347-C347-E347-F347-G347</f>
        <v>60648000</v>
      </c>
      <c r="I347" s="7" t="n">
        <f aca="false">H347-IF(가정!$B$7=1,가정!$B$5,0)</f>
        <v>56648000</v>
      </c>
      <c r="J347" s="7" t="n">
        <f aca="false">MAX(0,I347)*가정!$B$6</f>
        <v>50983200</v>
      </c>
      <c r="K347" s="7" t="n">
        <f aca="false">가정!$B$5+J347</f>
        <v>54983200</v>
      </c>
      <c r="L347" s="7" t="n">
        <f aca="false">H347-K347</f>
        <v>5664800</v>
      </c>
      <c r="M347" s="8" t="n">
        <f aca="false">IF(B347=0,0,K347/B347)</f>
        <v>0.554377898769913</v>
      </c>
      <c r="N347" s="7" t="n">
        <f aca="false">K347/가정!$B$8</f>
        <v>274916</v>
      </c>
      <c r="O347" s="7" t="n">
        <f aca="false">IF(I347&gt;0,A347,"")</f>
        <v>342</v>
      </c>
      <c r="P347" s="7" t="n">
        <f aca="false">IF(L347&gt;=0,A347,"")</f>
        <v>342</v>
      </c>
      <c r="Q347" s="7" t="n">
        <f aca="false">IF(K347&gt;=가정!$B$32,A347,"")</f>
        <v>342</v>
      </c>
      <c r="R347" s="7" t="str">
        <f aca="false">IF(MAX(0,I347)*(1-가정!$B$6)*'1억 상환'!$B$6&gt;='1억 상환'!$B$5,A347,"")</f>
        <v/>
      </c>
    </row>
    <row r="348" customFormat="false" ht="15" hidden="false" customHeight="false" outlineLevel="0" collapsed="false">
      <c r="A348" s="7" t="n">
        <v>343</v>
      </c>
      <c r="B348" s="7" t="n">
        <f aca="false">A348*가정!$B$10</f>
        <v>99470000</v>
      </c>
      <c r="C348" s="7" t="n">
        <f aca="false">가정!$B$34</f>
        <v>3590000</v>
      </c>
      <c r="D348" s="7" t="n">
        <f aca="false">ROUNDUP(MAX(0,A348-가정!$B$18)/가정!$B$19,0)</f>
        <v>6</v>
      </c>
      <c r="E348" s="7" t="n">
        <f aca="false">D348*가정!$B$20+ROUNDUP(A348/가정!$B$22,0)*가정!$B$21+ROUNDUP(A348/가정!$B$24,0)*가정!$B$23</f>
        <v>34600000</v>
      </c>
      <c r="F348" s="7" t="n">
        <f aca="false">A348*가정!$B$26+B348*가정!$B$27</f>
        <v>343000</v>
      </c>
      <c r="G348" s="7" t="n">
        <f aca="false">B348*가정!$B$28</f>
        <v>0</v>
      </c>
      <c r="H348" s="7" t="n">
        <f aca="false">B348-C348-E348-F348-G348</f>
        <v>60937000</v>
      </c>
      <c r="I348" s="7" t="n">
        <f aca="false">H348-IF(가정!$B$7=1,가정!$B$5,0)</f>
        <v>56937000</v>
      </c>
      <c r="J348" s="7" t="n">
        <f aca="false">MAX(0,I348)*가정!$B$6</f>
        <v>51243300</v>
      </c>
      <c r="K348" s="7" t="n">
        <f aca="false">가정!$B$5+J348</f>
        <v>55243300</v>
      </c>
      <c r="L348" s="7" t="n">
        <f aca="false">H348-K348</f>
        <v>5693700</v>
      </c>
      <c r="M348" s="8" t="n">
        <f aca="false">IF(B348=0,0,K348/B348)</f>
        <v>0.555376495425757</v>
      </c>
      <c r="N348" s="7" t="n">
        <f aca="false">K348/가정!$B$8</f>
        <v>276216.5</v>
      </c>
      <c r="O348" s="7" t="n">
        <f aca="false">IF(I348&gt;0,A348,"")</f>
        <v>343</v>
      </c>
      <c r="P348" s="7" t="n">
        <f aca="false">IF(L348&gt;=0,A348,"")</f>
        <v>343</v>
      </c>
      <c r="Q348" s="7" t="n">
        <f aca="false">IF(K348&gt;=가정!$B$32,A348,"")</f>
        <v>343</v>
      </c>
      <c r="R348" s="7" t="str">
        <f aca="false">IF(MAX(0,I348)*(1-가정!$B$6)*'1억 상환'!$B$6&gt;='1억 상환'!$B$5,A348,"")</f>
        <v/>
      </c>
    </row>
    <row r="349" customFormat="false" ht="15" hidden="false" customHeight="false" outlineLevel="0" collapsed="false">
      <c r="A349" s="7" t="n">
        <v>344</v>
      </c>
      <c r="B349" s="7" t="n">
        <f aca="false">A349*가정!$B$10</f>
        <v>99760000</v>
      </c>
      <c r="C349" s="7" t="n">
        <f aca="false">가정!$B$34</f>
        <v>3590000</v>
      </c>
      <c r="D349" s="7" t="n">
        <f aca="false">ROUNDUP(MAX(0,A349-가정!$B$18)/가정!$B$19,0)</f>
        <v>6</v>
      </c>
      <c r="E349" s="7" t="n">
        <f aca="false">D349*가정!$B$20+ROUNDUP(A349/가정!$B$22,0)*가정!$B$21+ROUNDUP(A349/가정!$B$24,0)*가정!$B$23</f>
        <v>34600000</v>
      </c>
      <c r="F349" s="7" t="n">
        <f aca="false">A349*가정!$B$26+B349*가정!$B$27</f>
        <v>344000</v>
      </c>
      <c r="G349" s="7" t="n">
        <f aca="false">B349*가정!$B$28</f>
        <v>0</v>
      </c>
      <c r="H349" s="7" t="n">
        <f aca="false">B349-C349-E349-F349-G349</f>
        <v>61226000</v>
      </c>
      <c r="I349" s="7" t="n">
        <f aca="false">H349-IF(가정!$B$7=1,가정!$B$5,0)</f>
        <v>57226000</v>
      </c>
      <c r="J349" s="7" t="n">
        <f aca="false">MAX(0,I349)*가정!$B$6</f>
        <v>51503400</v>
      </c>
      <c r="K349" s="7" t="n">
        <f aca="false">가정!$B$5+J349</f>
        <v>55503400</v>
      </c>
      <c r="L349" s="7" t="n">
        <f aca="false">H349-K349</f>
        <v>5722600</v>
      </c>
      <c r="M349" s="8" t="n">
        <f aca="false">IF(B349=0,0,K349/B349)</f>
        <v>0.556369286287089</v>
      </c>
      <c r="N349" s="7" t="n">
        <f aca="false">K349/가정!$B$8</f>
        <v>277517</v>
      </c>
      <c r="O349" s="7" t="n">
        <f aca="false">IF(I349&gt;0,A349,"")</f>
        <v>344</v>
      </c>
      <c r="P349" s="7" t="n">
        <f aca="false">IF(L349&gt;=0,A349,"")</f>
        <v>344</v>
      </c>
      <c r="Q349" s="7" t="n">
        <f aca="false">IF(K349&gt;=가정!$B$32,A349,"")</f>
        <v>344</v>
      </c>
      <c r="R349" s="7" t="str">
        <f aca="false">IF(MAX(0,I349)*(1-가정!$B$6)*'1억 상환'!$B$6&gt;='1억 상환'!$B$5,A349,"")</f>
        <v/>
      </c>
    </row>
    <row r="350" customFormat="false" ht="15" hidden="false" customHeight="false" outlineLevel="0" collapsed="false">
      <c r="A350" s="7" t="n">
        <v>345</v>
      </c>
      <c r="B350" s="7" t="n">
        <f aca="false">A350*가정!$B$10</f>
        <v>100050000</v>
      </c>
      <c r="C350" s="7" t="n">
        <f aca="false">가정!$B$34</f>
        <v>3590000</v>
      </c>
      <c r="D350" s="7" t="n">
        <f aca="false">ROUNDUP(MAX(0,A350-가정!$B$18)/가정!$B$19,0)</f>
        <v>6</v>
      </c>
      <c r="E350" s="7" t="n">
        <f aca="false">D350*가정!$B$20+ROUNDUP(A350/가정!$B$22,0)*가정!$B$21+ROUNDUP(A350/가정!$B$24,0)*가정!$B$23</f>
        <v>34600000</v>
      </c>
      <c r="F350" s="7" t="n">
        <f aca="false">A350*가정!$B$26+B350*가정!$B$27</f>
        <v>345000</v>
      </c>
      <c r="G350" s="7" t="n">
        <f aca="false">B350*가정!$B$28</f>
        <v>0</v>
      </c>
      <c r="H350" s="7" t="n">
        <f aca="false">B350-C350-E350-F350-G350</f>
        <v>61515000</v>
      </c>
      <c r="I350" s="7" t="n">
        <f aca="false">H350-IF(가정!$B$7=1,가정!$B$5,0)</f>
        <v>57515000</v>
      </c>
      <c r="J350" s="7" t="n">
        <f aca="false">MAX(0,I350)*가정!$B$6</f>
        <v>51763500</v>
      </c>
      <c r="K350" s="7" t="n">
        <f aca="false">가정!$B$5+J350</f>
        <v>55763500</v>
      </c>
      <c r="L350" s="7" t="n">
        <f aca="false">H350-K350</f>
        <v>5751500</v>
      </c>
      <c r="M350" s="8" t="n">
        <f aca="false">IF(B350=0,0,K350/B350)</f>
        <v>0.557356321839081</v>
      </c>
      <c r="N350" s="7" t="n">
        <f aca="false">K350/가정!$B$8</f>
        <v>278817.5</v>
      </c>
      <c r="O350" s="7" t="n">
        <f aca="false">IF(I350&gt;0,A350,"")</f>
        <v>345</v>
      </c>
      <c r="P350" s="7" t="n">
        <f aca="false">IF(L350&gt;=0,A350,"")</f>
        <v>345</v>
      </c>
      <c r="Q350" s="7" t="n">
        <f aca="false">IF(K350&gt;=가정!$B$32,A350,"")</f>
        <v>345</v>
      </c>
      <c r="R350" s="7" t="str">
        <f aca="false">IF(MAX(0,I350)*(1-가정!$B$6)*'1억 상환'!$B$6&gt;='1억 상환'!$B$5,A350,"")</f>
        <v/>
      </c>
    </row>
    <row r="351" customFormat="false" ht="15" hidden="false" customHeight="false" outlineLevel="0" collapsed="false">
      <c r="A351" s="7" t="n">
        <v>346</v>
      </c>
      <c r="B351" s="7" t="n">
        <f aca="false">A351*가정!$B$10</f>
        <v>100340000</v>
      </c>
      <c r="C351" s="7" t="n">
        <f aca="false">가정!$B$34</f>
        <v>3590000</v>
      </c>
      <c r="D351" s="7" t="n">
        <f aca="false">ROUNDUP(MAX(0,A351-가정!$B$18)/가정!$B$19,0)</f>
        <v>6</v>
      </c>
      <c r="E351" s="7" t="n">
        <f aca="false">D351*가정!$B$20+ROUNDUP(A351/가정!$B$22,0)*가정!$B$21+ROUNDUP(A351/가정!$B$24,0)*가정!$B$23</f>
        <v>34600000</v>
      </c>
      <c r="F351" s="7" t="n">
        <f aca="false">A351*가정!$B$26+B351*가정!$B$27</f>
        <v>346000</v>
      </c>
      <c r="G351" s="7" t="n">
        <f aca="false">B351*가정!$B$28</f>
        <v>0</v>
      </c>
      <c r="H351" s="7" t="n">
        <f aca="false">B351-C351-E351-F351-G351</f>
        <v>61804000</v>
      </c>
      <c r="I351" s="7" t="n">
        <f aca="false">H351-IF(가정!$B$7=1,가정!$B$5,0)</f>
        <v>57804000</v>
      </c>
      <c r="J351" s="7" t="n">
        <f aca="false">MAX(0,I351)*가정!$B$6</f>
        <v>52023600</v>
      </c>
      <c r="K351" s="7" t="n">
        <f aca="false">가정!$B$5+J351</f>
        <v>56023600</v>
      </c>
      <c r="L351" s="7" t="n">
        <f aca="false">H351-K351</f>
        <v>5780400</v>
      </c>
      <c r="M351" s="8" t="n">
        <f aca="false">IF(B351=0,0,K351/B351)</f>
        <v>0.558337651983257</v>
      </c>
      <c r="N351" s="7" t="n">
        <f aca="false">K351/가정!$B$8</f>
        <v>280118</v>
      </c>
      <c r="O351" s="7" t="n">
        <f aca="false">IF(I351&gt;0,A351,"")</f>
        <v>346</v>
      </c>
      <c r="P351" s="7" t="n">
        <f aca="false">IF(L351&gt;=0,A351,"")</f>
        <v>346</v>
      </c>
      <c r="Q351" s="7" t="n">
        <f aca="false">IF(K351&gt;=가정!$B$32,A351,"")</f>
        <v>346</v>
      </c>
      <c r="R351" s="7" t="str">
        <f aca="false">IF(MAX(0,I351)*(1-가정!$B$6)*'1억 상환'!$B$6&gt;='1억 상환'!$B$5,A351,"")</f>
        <v/>
      </c>
    </row>
    <row r="352" customFormat="false" ht="15" hidden="false" customHeight="false" outlineLevel="0" collapsed="false">
      <c r="A352" s="7" t="n">
        <v>347</v>
      </c>
      <c r="B352" s="7" t="n">
        <f aca="false">A352*가정!$B$10</f>
        <v>100630000</v>
      </c>
      <c r="C352" s="7" t="n">
        <f aca="false">가정!$B$34</f>
        <v>3590000</v>
      </c>
      <c r="D352" s="7" t="n">
        <f aca="false">ROUNDUP(MAX(0,A352-가정!$B$18)/가정!$B$19,0)</f>
        <v>6</v>
      </c>
      <c r="E352" s="7" t="n">
        <f aca="false">D352*가정!$B$20+ROUNDUP(A352/가정!$B$22,0)*가정!$B$21+ROUNDUP(A352/가정!$B$24,0)*가정!$B$23</f>
        <v>34600000</v>
      </c>
      <c r="F352" s="7" t="n">
        <f aca="false">A352*가정!$B$26+B352*가정!$B$27</f>
        <v>347000</v>
      </c>
      <c r="G352" s="7" t="n">
        <f aca="false">B352*가정!$B$28</f>
        <v>0</v>
      </c>
      <c r="H352" s="7" t="n">
        <f aca="false">B352-C352-E352-F352-G352</f>
        <v>62093000</v>
      </c>
      <c r="I352" s="7" t="n">
        <f aca="false">H352-IF(가정!$B$7=1,가정!$B$5,0)</f>
        <v>58093000</v>
      </c>
      <c r="J352" s="7" t="n">
        <f aca="false">MAX(0,I352)*가정!$B$6</f>
        <v>52283700</v>
      </c>
      <c r="K352" s="7" t="n">
        <f aca="false">가정!$B$5+J352</f>
        <v>56283700</v>
      </c>
      <c r="L352" s="7" t="n">
        <f aca="false">H352-K352</f>
        <v>5809300</v>
      </c>
      <c r="M352" s="8" t="n">
        <f aca="false">IF(B352=0,0,K352/B352)</f>
        <v>0.559313326045911</v>
      </c>
      <c r="N352" s="7" t="n">
        <f aca="false">K352/가정!$B$8</f>
        <v>281418.5</v>
      </c>
      <c r="O352" s="7" t="n">
        <f aca="false">IF(I352&gt;0,A352,"")</f>
        <v>347</v>
      </c>
      <c r="P352" s="7" t="n">
        <f aca="false">IF(L352&gt;=0,A352,"")</f>
        <v>347</v>
      </c>
      <c r="Q352" s="7" t="n">
        <f aca="false">IF(K352&gt;=가정!$B$32,A352,"")</f>
        <v>347</v>
      </c>
      <c r="R352" s="7" t="str">
        <f aca="false">IF(MAX(0,I352)*(1-가정!$B$6)*'1억 상환'!$B$6&gt;='1억 상환'!$B$5,A352,"")</f>
        <v/>
      </c>
    </row>
    <row r="353" customFormat="false" ht="15" hidden="false" customHeight="false" outlineLevel="0" collapsed="false">
      <c r="A353" s="7" t="n">
        <v>348</v>
      </c>
      <c r="B353" s="7" t="n">
        <f aca="false">A353*가정!$B$10</f>
        <v>100920000</v>
      </c>
      <c r="C353" s="7" t="n">
        <f aca="false">가정!$B$34</f>
        <v>3590000</v>
      </c>
      <c r="D353" s="7" t="n">
        <f aca="false">ROUNDUP(MAX(0,A353-가정!$B$18)/가정!$B$19,0)</f>
        <v>6</v>
      </c>
      <c r="E353" s="7" t="n">
        <f aca="false">D353*가정!$B$20+ROUNDUP(A353/가정!$B$22,0)*가정!$B$21+ROUNDUP(A353/가정!$B$24,0)*가정!$B$23</f>
        <v>34600000</v>
      </c>
      <c r="F353" s="7" t="n">
        <f aca="false">A353*가정!$B$26+B353*가정!$B$27</f>
        <v>348000</v>
      </c>
      <c r="G353" s="7" t="n">
        <f aca="false">B353*가정!$B$28</f>
        <v>0</v>
      </c>
      <c r="H353" s="7" t="n">
        <f aca="false">B353-C353-E353-F353-G353</f>
        <v>62382000</v>
      </c>
      <c r="I353" s="7" t="n">
        <f aca="false">H353-IF(가정!$B$7=1,가정!$B$5,0)</f>
        <v>58382000</v>
      </c>
      <c r="J353" s="7" t="n">
        <f aca="false">MAX(0,I353)*가정!$B$6</f>
        <v>52543800</v>
      </c>
      <c r="K353" s="7" t="n">
        <f aca="false">가정!$B$5+J353</f>
        <v>56543800</v>
      </c>
      <c r="L353" s="7" t="n">
        <f aca="false">H353-K353</f>
        <v>5838200</v>
      </c>
      <c r="M353" s="8" t="n">
        <f aca="false">IF(B353=0,0,K353/B353)</f>
        <v>0.560283392786365</v>
      </c>
      <c r="N353" s="7" t="n">
        <f aca="false">K353/가정!$B$8</f>
        <v>282719</v>
      </c>
      <c r="O353" s="7" t="n">
        <f aca="false">IF(I353&gt;0,A353,"")</f>
        <v>348</v>
      </c>
      <c r="P353" s="7" t="n">
        <f aca="false">IF(L353&gt;=0,A353,"")</f>
        <v>348</v>
      </c>
      <c r="Q353" s="7" t="n">
        <f aca="false">IF(K353&gt;=가정!$B$32,A353,"")</f>
        <v>348</v>
      </c>
      <c r="R353" s="7" t="str">
        <f aca="false">IF(MAX(0,I353)*(1-가정!$B$6)*'1억 상환'!$B$6&gt;='1억 상환'!$B$5,A353,"")</f>
        <v/>
      </c>
    </row>
    <row r="354" customFormat="false" ht="15" hidden="false" customHeight="false" outlineLevel="0" collapsed="false">
      <c r="A354" s="7" t="n">
        <v>349</v>
      </c>
      <c r="B354" s="7" t="n">
        <f aca="false">A354*가정!$B$10</f>
        <v>101210000</v>
      </c>
      <c r="C354" s="7" t="n">
        <f aca="false">가정!$B$34</f>
        <v>3590000</v>
      </c>
      <c r="D354" s="7" t="n">
        <f aca="false">ROUNDUP(MAX(0,A354-가정!$B$18)/가정!$B$19,0)</f>
        <v>6</v>
      </c>
      <c r="E354" s="7" t="n">
        <f aca="false">D354*가정!$B$20+ROUNDUP(A354/가정!$B$22,0)*가정!$B$21+ROUNDUP(A354/가정!$B$24,0)*가정!$B$23</f>
        <v>34600000</v>
      </c>
      <c r="F354" s="7" t="n">
        <f aca="false">A354*가정!$B$26+B354*가정!$B$27</f>
        <v>349000</v>
      </c>
      <c r="G354" s="7" t="n">
        <f aca="false">B354*가정!$B$28</f>
        <v>0</v>
      </c>
      <c r="H354" s="7" t="n">
        <f aca="false">B354-C354-E354-F354-G354</f>
        <v>62671000</v>
      </c>
      <c r="I354" s="7" t="n">
        <f aca="false">H354-IF(가정!$B$7=1,가정!$B$5,0)</f>
        <v>58671000</v>
      </c>
      <c r="J354" s="7" t="n">
        <f aca="false">MAX(0,I354)*가정!$B$6</f>
        <v>52803900</v>
      </c>
      <c r="K354" s="7" t="n">
        <f aca="false">가정!$B$5+J354</f>
        <v>56803900</v>
      </c>
      <c r="L354" s="7" t="n">
        <f aca="false">H354-K354</f>
        <v>5867100</v>
      </c>
      <c r="M354" s="8" t="n">
        <f aca="false">IF(B354=0,0,K354/B354)</f>
        <v>0.561247900405098</v>
      </c>
      <c r="N354" s="7" t="n">
        <f aca="false">K354/가정!$B$8</f>
        <v>284019.5</v>
      </c>
      <c r="O354" s="7" t="n">
        <f aca="false">IF(I354&gt;0,A354,"")</f>
        <v>349</v>
      </c>
      <c r="P354" s="7" t="n">
        <f aca="false">IF(L354&gt;=0,A354,"")</f>
        <v>349</v>
      </c>
      <c r="Q354" s="7" t="n">
        <f aca="false">IF(K354&gt;=가정!$B$32,A354,"")</f>
        <v>349</v>
      </c>
      <c r="R354" s="7" t="str">
        <f aca="false">IF(MAX(0,I354)*(1-가정!$B$6)*'1억 상환'!$B$6&gt;='1억 상환'!$B$5,A354,"")</f>
        <v/>
      </c>
    </row>
    <row r="355" customFormat="false" ht="15" hidden="false" customHeight="false" outlineLevel="0" collapsed="false">
      <c r="A355" s="7" t="n">
        <v>350</v>
      </c>
      <c r="B355" s="7" t="n">
        <f aca="false">A355*가정!$B$10</f>
        <v>101500000</v>
      </c>
      <c r="C355" s="7" t="n">
        <f aca="false">가정!$B$34</f>
        <v>3590000</v>
      </c>
      <c r="D355" s="7" t="n">
        <f aca="false">ROUNDUP(MAX(0,A355-가정!$B$18)/가정!$B$19,0)</f>
        <v>6</v>
      </c>
      <c r="E355" s="7" t="n">
        <f aca="false">D355*가정!$B$20+ROUNDUP(A355/가정!$B$22,0)*가정!$B$21+ROUNDUP(A355/가정!$B$24,0)*가정!$B$23</f>
        <v>34600000</v>
      </c>
      <c r="F355" s="7" t="n">
        <f aca="false">A355*가정!$B$26+B355*가정!$B$27</f>
        <v>350000</v>
      </c>
      <c r="G355" s="7" t="n">
        <f aca="false">B355*가정!$B$28</f>
        <v>0</v>
      </c>
      <c r="H355" s="7" t="n">
        <f aca="false">B355-C355-E355-F355-G355</f>
        <v>62960000</v>
      </c>
      <c r="I355" s="7" t="n">
        <f aca="false">H355-IF(가정!$B$7=1,가정!$B$5,0)</f>
        <v>58960000</v>
      </c>
      <c r="J355" s="7" t="n">
        <f aca="false">MAX(0,I355)*가정!$B$6</f>
        <v>53064000</v>
      </c>
      <c r="K355" s="7" t="n">
        <f aca="false">가정!$B$5+J355</f>
        <v>57064000</v>
      </c>
      <c r="L355" s="7" t="n">
        <f aca="false">H355-K355</f>
        <v>5896000</v>
      </c>
      <c r="M355" s="8" t="n">
        <f aca="false">IF(B355=0,0,K355/B355)</f>
        <v>0.562206896551724</v>
      </c>
      <c r="N355" s="7" t="n">
        <f aca="false">K355/가정!$B$8</f>
        <v>285320</v>
      </c>
      <c r="O355" s="7" t="n">
        <f aca="false">IF(I355&gt;0,A355,"")</f>
        <v>350</v>
      </c>
      <c r="P355" s="7" t="n">
        <f aca="false">IF(L355&gt;=0,A355,"")</f>
        <v>350</v>
      </c>
      <c r="Q355" s="7" t="n">
        <f aca="false">IF(K355&gt;=가정!$B$32,A355,"")</f>
        <v>350</v>
      </c>
      <c r="R355" s="7" t="str">
        <f aca="false">IF(MAX(0,I355)*(1-가정!$B$6)*'1억 상환'!$B$6&gt;='1억 상환'!$B$5,A355,"")</f>
        <v/>
      </c>
    </row>
    <row r="356" customFormat="false" ht="15" hidden="false" customHeight="false" outlineLevel="0" collapsed="false">
      <c r="A356" s="7" t="n">
        <v>351</v>
      </c>
      <c r="B356" s="7" t="n">
        <f aca="false">A356*가정!$B$10</f>
        <v>101790000</v>
      </c>
      <c r="C356" s="7" t="n">
        <f aca="false">가정!$B$34</f>
        <v>3590000</v>
      </c>
      <c r="D356" s="7" t="n">
        <f aca="false">ROUNDUP(MAX(0,A356-가정!$B$18)/가정!$B$19,0)</f>
        <v>6</v>
      </c>
      <c r="E356" s="7" t="n">
        <f aca="false">D356*가정!$B$20+ROUNDUP(A356/가정!$B$22,0)*가정!$B$21+ROUNDUP(A356/가정!$B$24,0)*가정!$B$23</f>
        <v>34600000</v>
      </c>
      <c r="F356" s="7" t="n">
        <f aca="false">A356*가정!$B$26+B356*가정!$B$27</f>
        <v>351000</v>
      </c>
      <c r="G356" s="7" t="n">
        <f aca="false">B356*가정!$B$28</f>
        <v>0</v>
      </c>
      <c r="H356" s="7" t="n">
        <f aca="false">B356-C356-E356-F356-G356</f>
        <v>63249000</v>
      </c>
      <c r="I356" s="7" t="n">
        <f aca="false">H356-IF(가정!$B$7=1,가정!$B$5,0)</f>
        <v>59249000</v>
      </c>
      <c r="J356" s="7" t="n">
        <f aca="false">MAX(0,I356)*가정!$B$6</f>
        <v>53324100</v>
      </c>
      <c r="K356" s="7" t="n">
        <f aca="false">가정!$B$5+J356</f>
        <v>57324100</v>
      </c>
      <c r="L356" s="7" t="n">
        <f aca="false">H356-K356</f>
        <v>5924900</v>
      </c>
      <c r="M356" s="8" t="n">
        <f aca="false">IF(B356=0,0,K356/B356)</f>
        <v>0.563160428332842</v>
      </c>
      <c r="N356" s="7" t="n">
        <f aca="false">K356/가정!$B$8</f>
        <v>286620.5</v>
      </c>
      <c r="O356" s="7" t="n">
        <f aca="false">IF(I356&gt;0,A356,"")</f>
        <v>351</v>
      </c>
      <c r="P356" s="7" t="n">
        <f aca="false">IF(L356&gt;=0,A356,"")</f>
        <v>351</v>
      </c>
      <c r="Q356" s="7" t="n">
        <f aca="false">IF(K356&gt;=가정!$B$32,A356,"")</f>
        <v>351</v>
      </c>
      <c r="R356" s="7" t="str">
        <f aca="false">IF(MAX(0,I356)*(1-가정!$B$6)*'1억 상환'!$B$6&gt;='1억 상환'!$B$5,A356,"")</f>
        <v/>
      </c>
    </row>
    <row r="357" customFormat="false" ht="15" hidden="false" customHeight="false" outlineLevel="0" collapsed="false">
      <c r="A357" s="7" t="n">
        <v>352</v>
      </c>
      <c r="B357" s="7" t="n">
        <f aca="false">A357*가정!$B$10</f>
        <v>102080000</v>
      </c>
      <c r="C357" s="7" t="n">
        <f aca="false">가정!$B$34</f>
        <v>3590000</v>
      </c>
      <c r="D357" s="7" t="n">
        <f aca="false">ROUNDUP(MAX(0,A357-가정!$B$18)/가정!$B$19,0)</f>
        <v>6</v>
      </c>
      <c r="E357" s="7" t="n">
        <f aca="false">D357*가정!$B$20+ROUNDUP(A357/가정!$B$22,0)*가정!$B$21+ROUNDUP(A357/가정!$B$24,0)*가정!$B$23</f>
        <v>34600000</v>
      </c>
      <c r="F357" s="7" t="n">
        <f aca="false">A357*가정!$B$26+B357*가정!$B$27</f>
        <v>352000</v>
      </c>
      <c r="G357" s="7" t="n">
        <f aca="false">B357*가정!$B$28</f>
        <v>0</v>
      </c>
      <c r="H357" s="7" t="n">
        <f aca="false">B357-C357-E357-F357-G357</f>
        <v>63538000</v>
      </c>
      <c r="I357" s="7" t="n">
        <f aca="false">H357-IF(가정!$B$7=1,가정!$B$5,0)</f>
        <v>59538000</v>
      </c>
      <c r="J357" s="7" t="n">
        <f aca="false">MAX(0,I357)*가정!$B$6</f>
        <v>53584200</v>
      </c>
      <c r="K357" s="7" t="n">
        <f aca="false">가정!$B$5+J357</f>
        <v>57584200</v>
      </c>
      <c r="L357" s="7" t="n">
        <f aca="false">H357-K357</f>
        <v>5953800</v>
      </c>
      <c r="M357" s="8" t="n">
        <f aca="false">IF(B357=0,0,K357/B357)</f>
        <v>0.564108542319749</v>
      </c>
      <c r="N357" s="7" t="n">
        <f aca="false">K357/가정!$B$8</f>
        <v>287921</v>
      </c>
      <c r="O357" s="7" t="n">
        <f aca="false">IF(I357&gt;0,A357,"")</f>
        <v>352</v>
      </c>
      <c r="P357" s="7" t="n">
        <f aca="false">IF(L357&gt;=0,A357,"")</f>
        <v>352</v>
      </c>
      <c r="Q357" s="7" t="n">
        <f aca="false">IF(K357&gt;=가정!$B$32,A357,"")</f>
        <v>352</v>
      </c>
      <c r="R357" s="7" t="str">
        <f aca="false">IF(MAX(0,I357)*(1-가정!$B$6)*'1억 상환'!$B$6&gt;='1억 상환'!$B$5,A357,"")</f>
        <v/>
      </c>
    </row>
    <row r="358" customFormat="false" ht="15" hidden="false" customHeight="false" outlineLevel="0" collapsed="false">
      <c r="A358" s="7" t="n">
        <v>353</v>
      </c>
      <c r="B358" s="7" t="n">
        <f aca="false">A358*가정!$B$10</f>
        <v>102370000</v>
      </c>
      <c r="C358" s="7" t="n">
        <f aca="false">가정!$B$34</f>
        <v>3590000</v>
      </c>
      <c r="D358" s="7" t="n">
        <f aca="false">ROUNDUP(MAX(0,A358-가정!$B$18)/가정!$B$19,0)</f>
        <v>6</v>
      </c>
      <c r="E358" s="7" t="n">
        <f aca="false">D358*가정!$B$20+ROUNDUP(A358/가정!$B$22,0)*가정!$B$21+ROUNDUP(A358/가정!$B$24,0)*가정!$B$23</f>
        <v>34600000</v>
      </c>
      <c r="F358" s="7" t="n">
        <f aca="false">A358*가정!$B$26+B358*가정!$B$27</f>
        <v>353000</v>
      </c>
      <c r="G358" s="7" t="n">
        <f aca="false">B358*가정!$B$28</f>
        <v>0</v>
      </c>
      <c r="H358" s="7" t="n">
        <f aca="false">B358-C358-E358-F358-G358</f>
        <v>63827000</v>
      </c>
      <c r="I358" s="7" t="n">
        <f aca="false">H358-IF(가정!$B$7=1,가정!$B$5,0)</f>
        <v>59827000</v>
      </c>
      <c r="J358" s="7" t="n">
        <f aca="false">MAX(0,I358)*가정!$B$6</f>
        <v>53844300</v>
      </c>
      <c r="K358" s="7" t="n">
        <f aca="false">가정!$B$5+J358</f>
        <v>57844300</v>
      </c>
      <c r="L358" s="7" t="n">
        <f aca="false">H358-K358</f>
        <v>5982700</v>
      </c>
      <c r="M358" s="8" t="n">
        <f aca="false">IF(B358=0,0,K358/B358)</f>
        <v>0.565051284556022</v>
      </c>
      <c r="N358" s="7" t="n">
        <f aca="false">K358/가정!$B$8</f>
        <v>289221.5</v>
      </c>
      <c r="O358" s="7" t="n">
        <f aca="false">IF(I358&gt;0,A358,"")</f>
        <v>353</v>
      </c>
      <c r="P358" s="7" t="n">
        <f aca="false">IF(L358&gt;=0,A358,"")</f>
        <v>353</v>
      </c>
      <c r="Q358" s="7" t="n">
        <f aca="false">IF(K358&gt;=가정!$B$32,A358,"")</f>
        <v>353</v>
      </c>
      <c r="R358" s="7" t="str">
        <f aca="false">IF(MAX(0,I358)*(1-가정!$B$6)*'1억 상환'!$B$6&gt;='1억 상환'!$B$5,A358,"")</f>
        <v/>
      </c>
    </row>
    <row r="359" customFormat="false" ht="15" hidden="false" customHeight="false" outlineLevel="0" collapsed="false">
      <c r="A359" s="7" t="n">
        <v>354</v>
      </c>
      <c r="B359" s="7" t="n">
        <f aca="false">A359*가정!$B$10</f>
        <v>102660000</v>
      </c>
      <c r="C359" s="7" t="n">
        <f aca="false">가정!$B$34</f>
        <v>3590000</v>
      </c>
      <c r="D359" s="7" t="n">
        <f aca="false">ROUNDUP(MAX(0,A359-가정!$B$18)/가정!$B$19,0)</f>
        <v>6</v>
      </c>
      <c r="E359" s="7" t="n">
        <f aca="false">D359*가정!$B$20+ROUNDUP(A359/가정!$B$22,0)*가정!$B$21+ROUNDUP(A359/가정!$B$24,0)*가정!$B$23</f>
        <v>34600000</v>
      </c>
      <c r="F359" s="7" t="n">
        <f aca="false">A359*가정!$B$26+B359*가정!$B$27</f>
        <v>354000</v>
      </c>
      <c r="G359" s="7" t="n">
        <f aca="false">B359*가정!$B$28</f>
        <v>0</v>
      </c>
      <c r="H359" s="7" t="n">
        <f aca="false">B359-C359-E359-F359-G359</f>
        <v>64116000</v>
      </c>
      <c r="I359" s="7" t="n">
        <f aca="false">H359-IF(가정!$B$7=1,가정!$B$5,0)</f>
        <v>60116000</v>
      </c>
      <c r="J359" s="7" t="n">
        <f aca="false">MAX(0,I359)*가정!$B$6</f>
        <v>54104400</v>
      </c>
      <c r="K359" s="7" t="n">
        <f aca="false">가정!$B$5+J359</f>
        <v>58104400</v>
      </c>
      <c r="L359" s="7" t="n">
        <f aca="false">H359-K359</f>
        <v>6011600</v>
      </c>
      <c r="M359" s="8" t="n">
        <f aca="false">IF(B359=0,0,K359/B359)</f>
        <v>0.565988700564972</v>
      </c>
      <c r="N359" s="7" t="n">
        <f aca="false">K359/가정!$B$8</f>
        <v>290522</v>
      </c>
      <c r="O359" s="7" t="n">
        <f aca="false">IF(I359&gt;0,A359,"")</f>
        <v>354</v>
      </c>
      <c r="P359" s="7" t="n">
        <f aca="false">IF(L359&gt;=0,A359,"")</f>
        <v>354</v>
      </c>
      <c r="Q359" s="7" t="n">
        <f aca="false">IF(K359&gt;=가정!$B$32,A359,"")</f>
        <v>354</v>
      </c>
      <c r="R359" s="7" t="str">
        <f aca="false">IF(MAX(0,I359)*(1-가정!$B$6)*'1억 상환'!$B$6&gt;='1억 상환'!$B$5,A359,"")</f>
        <v/>
      </c>
    </row>
    <row r="360" customFormat="false" ht="15" hidden="false" customHeight="false" outlineLevel="0" collapsed="false">
      <c r="A360" s="7" t="n">
        <v>355</v>
      </c>
      <c r="B360" s="7" t="n">
        <f aca="false">A360*가정!$B$10</f>
        <v>102950000</v>
      </c>
      <c r="C360" s="7" t="n">
        <f aca="false">가정!$B$34</f>
        <v>3590000</v>
      </c>
      <c r="D360" s="7" t="n">
        <f aca="false">ROUNDUP(MAX(0,A360-가정!$B$18)/가정!$B$19,0)</f>
        <v>6</v>
      </c>
      <c r="E360" s="7" t="n">
        <f aca="false">D360*가정!$B$20+ROUNDUP(A360/가정!$B$22,0)*가정!$B$21+ROUNDUP(A360/가정!$B$24,0)*가정!$B$23</f>
        <v>34600000</v>
      </c>
      <c r="F360" s="7" t="n">
        <f aca="false">A360*가정!$B$26+B360*가정!$B$27</f>
        <v>355000</v>
      </c>
      <c r="G360" s="7" t="n">
        <f aca="false">B360*가정!$B$28</f>
        <v>0</v>
      </c>
      <c r="H360" s="7" t="n">
        <f aca="false">B360-C360-E360-F360-G360</f>
        <v>64405000</v>
      </c>
      <c r="I360" s="7" t="n">
        <f aca="false">H360-IF(가정!$B$7=1,가정!$B$5,0)</f>
        <v>60405000</v>
      </c>
      <c r="J360" s="7" t="n">
        <f aca="false">MAX(0,I360)*가정!$B$6</f>
        <v>54364500</v>
      </c>
      <c r="K360" s="7" t="n">
        <f aca="false">가정!$B$5+J360</f>
        <v>58364500</v>
      </c>
      <c r="L360" s="7" t="n">
        <f aca="false">H360-K360</f>
        <v>6040500</v>
      </c>
      <c r="M360" s="8" t="n">
        <f aca="false">IF(B360=0,0,K360/B360)</f>
        <v>0.566920835356969</v>
      </c>
      <c r="N360" s="7" t="n">
        <f aca="false">K360/가정!$B$8</f>
        <v>291822.5</v>
      </c>
      <c r="O360" s="7" t="n">
        <f aca="false">IF(I360&gt;0,A360,"")</f>
        <v>355</v>
      </c>
      <c r="P360" s="7" t="n">
        <f aca="false">IF(L360&gt;=0,A360,"")</f>
        <v>355</v>
      </c>
      <c r="Q360" s="7" t="n">
        <f aca="false">IF(K360&gt;=가정!$B$32,A360,"")</f>
        <v>355</v>
      </c>
      <c r="R360" s="7" t="str">
        <f aca="false">IF(MAX(0,I360)*(1-가정!$B$6)*'1억 상환'!$B$6&gt;='1억 상환'!$B$5,A360,"")</f>
        <v/>
      </c>
    </row>
    <row r="361" customFormat="false" ht="15" hidden="false" customHeight="false" outlineLevel="0" collapsed="false">
      <c r="A361" s="7" t="n">
        <v>356</v>
      </c>
      <c r="B361" s="7" t="n">
        <f aca="false">A361*가정!$B$10</f>
        <v>103240000</v>
      </c>
      <c r="C361" s="7" t="n">
        <f aca="false">가정!$B$34</f>
        <v>3590000</v>
      </c>
      <c r="D361" s="7" t="n">
        <f aca="false">ROUNDUP(MAX(0,A361-가정!$B$18)/가정!$B$19,0)</f>
        <v>6</v>
      </c>
      <c r="E361" s="7" t="n">
        <f aca="false">D361*가정!$B$20+ROUNDUP(A361/가정!$B$22,0)*가정!$B$21+ROUNDUP(A361/가정!$B$24,0)*가정!$B$23</f>
        <v>34600000</v>
      </c>
      <c r="F361" s="7" t="n">
        <f aca="false">A361*가정!$B$26+B361*가정!$B$27</f>
        <v>356000</v>
      </c>
      <c r="G361" s="7" t="n">
        <f aca="false">B361*가정!$B$28</f>
        <v>0</v>
      </c>
      <c r="H361" s="7" t="n">
        <f aca="false">B361-C361-E361-F361-G361</f>
        <v>64694000</v>
      </c>
      <c r="I361" s="7" t="n">
        <f aca="false">H361-IF(가정!$B$7=1,가정!$B$5,0)</f>
        <v>60694000</v>
      </c>
      <c r="J361" s="7" t="n">
        <f aca="false">MAX(0,I361)*가정!$B$6</f>
        <v>54624600</v>
      </c>
      <c r="K361" s="7" t="n">
        <f aca="false">가정!$B$5+J361</f>
        <v>58624600</v>
      </c>
      <c r="L361" s="7" t="n">
        <f aca="false">H361-K361</f>
        <v>6069400</v>
      </c>
      <c r="M361" s="8" t="n">
        <f aca="false">IF(B361=0,0,K361/B361)</f>
        <v>0.567847733436653</v>
      </c>
      <c r="N361" s="7" t="n">
        <f aca="false">K361/가정!$B$8</f>
        <v>293123</v>
      </c>
      <c r="O361" s="7" t="n">
        <f aca="false">IF(I361&gt;0,A361,"")</f>
        <v>356</v>
      </c>
      <c r="P361" s="7" t="n">
        <f aca="false">IF(L361&gt;=0,A361,"")</f>
        <v>356</v>
      </c>
      <c r="Q361" s="7" t="n">
        <f aca="false">IF(K361&gt;=가정!$B$32,A361,"")</f>
        <v>356</v>
      </c>
      <c r="R361" s="7" t="str">
        <f aca="false">IF(MAX(0,I361)*(1-가정!$B$6)*'1억 상환'!$B$6&gt;='1억 상환'!$B$5,A361,"")</f>
        <v/>
      </c>
    </row>
    <row r="362" customFormat="false" ht="15" hidden="false" customHeight="false" outlineLevel="0" collapsed="false">
      <c r="A362" s="7" t="n">
        <v>357</v>
      </c>
      <c r="B362" s="7" t="n">
        <f aca="false">A362*가정!$B$10</f>
        <v>103530000</v>
      </c>
      <c r="C362" s="7" t="n">
        <f aca="false">가정!$B$34</f>
        <v>3590000</v>
      </c>
      <c r="D362" s="7" t="n">
        <f aca="false">ROUNDUP(MAX(0,A362-가정!$B$18)/가정!$B$19,0)</f>
        <v>6</v>
      </c>
      <c r="E362" s="7" t="n">
        <f aca="false">D362*가정!$B$20+ROUNDUP(A362/가정!$B$22,0)*가정!$B$21+ROUNDUP(A362/가정!$B$24,0)*가정!$B$23</f>
        <v>34600000</v>
      </c>
      <c r="F362" s="7" t="n">
        <f aca="false">A362*가정!$B$26+B362*가정!$B$27</f>
        <v>357000</v>
      </c>
      <c r="G362" s="7" t="n">
        <f aca="false">B362*가정!$B$28</f>
        <v>0</v>
      </c>
      <c r="H362" s="7" t="n">
        <f aca="false">B362-C362-E362-F362-G362</f>
        <v>64983000</v>
      </c>
      <c r="I362" s="7" t="n">
        <f aca="false">H362-IF(가정!$B$7=1,가정!$B$5,0)</f>
        <v>60983000</v>
      </c>
      <c r="J362" s="7" t="n">
        <f aca="false">MAX(0,I362)*가정!$B$6</f>
        <v>54884700</v>
      </c>
      <c r="K362" s="7" t="n">
        <f aca="false">가정!$B$5+J362</f>
        <v>58884700</v>
      </c>
      <c r="L362" s="7" t="n">
        <f aca="false">H362-K362</f>
        <v>6098300</v>
      </c>
      <c r="M362" s="8" t="n">
        <f aca="false">IF(B362=0,0,K362/B362)</f>
        <v>0.568769438810007</v>
      </c>
      <c r="N362" s="7" t="n">
        <f aca="false">K362/가정!$B$8</f>
        <v>294423.5</v>
      </c>
      <c r="O362" s="7" t="n">
        <f aca="false">IF(I362&gt;0,A362,"")</f>
        <v>357</v>
      </c>
      <c r="P362" s="7" t="n">
        <f aca="false">IF(L362&gt;=0,A362,"")</f>
        <v>357</v>
      </c>
      <c r="Q362" s="7" t="n">
        <f aca="false">IF(K362&gt;=가정!$B$32,A362,"")</f>
        <v>357</v>
      </c>
      <c r="R362" s="7" t="str">
        <f aca="false">IF(MAX(0,I362)*(1-가정!$B$6)*'1억 상환'!$B$6&gt;='1억 상환'!$B$5,A362,"")</f>
        <v/>
      </c>
    </row>
    <row r="363" customFormat="false" ht="15" hidden="false" customHeight="false" outlineLevel="0" collapsed="false">
      <c r="A363" s="7" t="n">
        <v>358</v>
      </c>
      <c r="B363" s="7" t="n">
        <f aca="false">A363*가정!$B$10</f>
        <v>103820000</v>
      </c>
      <c r="C363" s="7" t="n">
        <f aca="false">가정!$B$34</f>
        <v>3590000</v>
      </c>
      <c r="D363" s="7" t="n">
        <f aca="false">ROUNDUP(MAX(0,A363-가정!$B$18)/가정!$B$19,0)</f>
        <v>6</v>
      </c>
      <c r="E363" s="7" t="n">
        <f aca="false">D363*가정!$B$20+ROUNDUP(A363/가정!$B$22,0)*가정!$B$21+ROUNDUP(A363/가정!$B$24,0)*가정!$B$23</f>
        <v>34600000</v>
      </c>
      <c r="F363" s="7" t="n">
        <f aca="false">A363*가정!$B$26+B363*가정!$B$27</f>
        <v>358000</v>
      </c>
      <c r="G363" s="7" t="n">
        <f aca="false">B363*가정!$B$28</f>
        <v>0</v>
      </c>
      <c r="H363" s="7" t="n">
        <f aca="false">B363-C363-E363-F363-G363</f>
        <v>65272000</v>
      </c>
      <c r="I363" s="7" t="n">
        <f aca="false">H363-IF(가정!$B$7=1,가정!$B$5,0)</f>
        <v>61272000</v>
      </c>
      <c r="J363" s="7" t="n">
        <f aca="false">MAX(0,I363)*가정!$B$6</f>
        <v>55144800</v>
      </c>
      <c r="K363" s="7" t="n">
        <f aca="false">가정!$B$5+J363</f>
        <v>59144800</v>
      </c>
      <c r="L363" s="7" t="n">
        <f aca="false">H363-K363</f>
        <v>6127200</v>
      </c>
      <c r="M363" s="8" t="n">
        <f aca="false">IF(B363=0,0,K363/B363)</f>
        <v>0.569685994991331</v>
      </c>
      <c r="N363" s="7" t="n">
        <f aca="false">K363/가정!$B$8</f>
        <v>295724</v>
      </c>
      <c r="O363" s="7" t="n">
        <f aca="false">IF(I363&gt;0,A363,"")</f>
        <v>358</v>
      </c>
      <c r="P363" s="7" t="n">
        <f aca="false">IF(L363&gt;=0,A363,"")</f>
        <v>358</v>
      </c>
      <c r="Q363" s="7" t="n">
        <f aca="false">IF(K363&gt;=가정!$B$32,A363,"")</f>
        <v>358</v>
      </c>
      <c r="R363" s="7" t="str">
        <f aca="false">IF(MAX(0,I363)*(1-가정!$B$6)*'1억 상환'!$B$6&gt;='1억 상환'!$B$5,A363,"")</f>
        <v/>
      </c>
    </row>
    <row r="364" customFormat="false" ht="15" hidden="false" customHeight="false" outlineLevel="0" collapsed="false">
      <c r="A364" s="7" t="n">
        <v>359</v>
      </c>
      <c r="B364" s="7" t="n">
        <f aca="false">A364*가정!$B$10</f>
        <v>104110000</v>
      </c>
      <c r="C364" s="7" t="n">
        <f aca="false">가정!$B$34</f>
        <v>3590000</v>
      </c>
      <c r="D364" s="7" t="n">
        <f aca="false">ROUNDUP(MAX(0,A364-가정!$B$18)/가정!$B$19,0)</f>
        <v>6</v>
      </c>
      <c r="E364" s="7" t="n">
        <f aca="false">D364*가정!$B$20+ROUNDUP(A364/가정!$B$22,0)*가정!$B$21+ROUNDUP(A364/가정!$B$24,0)*가정!$B$23</f>
        <v>34600000</v>
      </c>
      <c r="F364" s="7" t="n">
        <f aca="false">A364*가정!$B$26+B364*가정!$B$27</f>
        <v>359000</v>
      </c>
      <c r="G364" s="7" t="n">
        <f aca="false">B364*가정!$B$28</f>
        <v>0</v>
      </c>
      <c r="H364" s="7" t="n">
        <f aca="false">B364-C364-E364-F364-G364</f>
        <v>65561000</v>
      </c>
      <c r="I364" s="7" t="n">
        <f aca="false">H364-IF(가정!$B$7=1,가정!$B$5,0)</f>
        <v>61561000</v>
      </c>
      <c r="J364" s="7" t="n">
        <f aca="false">MAX(0,I364)*가정!$B$6</f>
        <v>55404900</v>
      </c>
      <c r="K364" s="7" t="n">
        <f aca="false">가정!$B$5+J364</f>
        <v>59404900</v>
      </c>
      <c r="L364" s="7" t="n">
        <f aca="false">H364-K364</f>
        <v>6156100</v>
      </c>
      <c r="M364" s="8" t="n">
        <f aca="false">IF(B364=0,0,K364/B364)</f>
        <v>0.570597445010086</v>
      </c>
      <c r="N364" s="7" t="n">
        <f aca="false">K364/가정!$B$8</f>
        <v>297024.5</v>
      </c>
      <c r="O364" s="7" t="n">
        <f aca="false">IF(I364&gt;0,A364,"")</f>
        <v>359</v>
      </c>
      <c r="P364" s="7" t="n">
        <f aca="false">IF(L364&gt;=0,A364,"")</f>
        <v>359</v>
      </c>
      <c r="Q364" s="7" t="n">
        <f aca="false">IF(K364&gt;=가정!$B$32,A364,"")</f>
        <v>359</v>
      </c>
      <c r="R364" s="7" t="str">
        <f aca="false">IF(MAX(0,I364)*(1-가정!$B$6)*'1억 상환'!$B$6&gt;='1억 상환'!$B$5,A364,"")</f>
        <v/>
      </c>
    </row>
    <row r="365" customFormat="false" ht="15" hidden="false" customHeight="false" outlineLevel="0" collapsed="false">
      <c r="A365" s="7" t="n">
        <v>360</v>
      </c>
      <c r="B365" s="7" t="n">
        <f aca="false">A365*가정!$B$10</f>
        <v>104400000</v>
      </c>
      <c r="C365" s="7" t="n">
        <f aca="false">가정!$B$34</f>
        <v>3590000</v>
      </c>
      <c r="D365" s="7" t="n">
        <f aca="false">ROUNDUP(MAX(0,A365-가정!$B$18)/가정!$B$19,0)</f>
        <v>6</v>
      </c>
      <c r="E365" s="7" t="n">
        <f aca="false">D365*가정!$B$20+ROUNDUP(A365/가정!$B$22,0)*가정!$B$21+ROUNDUP(A365/가정!$B$24,0)*가정!$B$23</f>
        <v>34600000</v>
      </c>
      <c r="F365" s="7" t="n">
        <f aca="false">A365*가정!$B$26+B365*가정!$B$27</f>
        <v>360000</v>
      </c>
      <c r="G365" s="7" t="n">
        <f aca="false">B365*가정!$B$28</f>
        <v>0</v>
      </c>
      <c r="H365" s="7" t="n">
        <f aca="false">B365-C365-E365-F365-G365</f>
        <v>65850000</v>
      </c>
      <c r="I365" s="7" t="n">
        <f aca="false">H365-IF(가정!$B$7=1,가정!$B$5,0)</f>
        <v>61850000</v>
      </c>
      <c r="J365" s="7" t="n">
        <f aca="false">MAX(0,I365)*가정!$B$6</f>
        <v>55665000</v>
      </c>
      <c r="K365" s="7" t="n">
        <f aca="false">가정!$B$5+J365</f>
        <v>59665000</v>
      </c>
      <c r="L365" s="7" t="n">
        <f aca="false">H365-K365</f>
        <v>6185000</v>
      </c>
      <c r="M365" s="8" t="n">
        <f aca="false">IF(B365=0,0,K365/B365)</f>
        <v>0.571503831417625</v>
      </c>
      <c r="N365" s="7" t="n">
        <f aca="false">K365/가정!$B$8</f>
        <v>298325</v>
      </c>
      <c r="O365" s="7" t="n">
        <f aca="false">IF(I365&gt;0,A365,"")</f>
        <v>360</v>
      </c>
      <c r="P365" s="7" t="n">
        <f aca="false">IF(L365&gt;=0,A365,"")</f>
        <v>360</v>
      </c>
      <c r="Q365" s="7" t="n">
        <f aca="false">IF(K365&gt;=가정!$B$32,A365,"")</f>
        <v>360</v>
      </c>
      <c r="R365" s="7" t="str">
        <f aca="false">IF(MAX(0,I365)*(1-가정!$B$6)*'1억 상환'!$B$6&gt;='1억 상환'!$B$5,A365,"")</f>
        <v/>
      </c>
    </row>
    <row r="366" customFormat="false" ht="15" hidden="false" customHeight="false" outlineLevel="0" collapsed="false">
      <c r="A366" s="7" t="n">
        <v>361</v>
      </c>
      <c r="B366" s="7" t="n">
        <f aca="false">A366*가정!$B$10</f>
        <v>104690000</v>
      </c>
      <c r="C366" s="7" t="n">
        <f aca="false">가정!$B$34</f>
        <v>3590000</v>
      </c>
      <c r="D366" s="7" t="n">
        <f aca="false">ROUNDUP(MAX(0,A366-가정!$B$18)/가정!$B$19,0)</f>
        <v>7</v>
      </c>
      <c r="E366" s="7" t="n">
        <f aca="false">D366*가정!$B$20+ROUNDUP(A366/가정!$B$22,0)*가정!$B$21+ROUNDUP(A366/가정!$B$24,0)*가정!$B$23</f>
        <v>39100000</v>
      </c>
      <c r="F366" s="7" t="n">
        <f aca="false">A366*가정!$B$26+B366*가정!$B$27</f>
        <v>361000</v>
      </c>
      <c r="G366" s="7" t="n">
        <f aca="false">B366*가정!$B$28</f>
        <v>0</v>
      </c>
      <c r="H366" s="7" t="n">
        <f aca="false">B366-C366-E366-F366-G366</f>
        <v>61639000</v>
      </c>
      <c r="I366" s="7" t="n">
        <f aca="false">H366-IF(가정!$B$7=1,가정!$B$5,0)</f>
        <v>57639000</v>
      </c>
      <c r="J366" s="7" t="n">
        <f aca="false">MAX(0,I366)*가정!$B$6</f>
        <v>51875100</v>
      </c>
      <c r="K366" s="7" t="n">
        <f aca="false">가정!$B$5+J366</f>
        <v>55875100</v>
      </c>
      <c r="L366" s="7" t="n">
        <f aca="false">H366-K366</f>
        <v>5763900</v>
      </c>
      <c r="M366" s="8" t="n">
        <f aca="false">IF(B366=0,0,K366/B366)</f>
        <v>0.533719552965899</v>
      </c>
      <c r="N366" s="7" t="n">
        <f aca="false">K366/가정!$B$8</f>
        <v>279375.5</v>
      </c>
      <c r="O366" s="7" t="n">
        <f aca="false">IF(I366&gt;0,A366,"")</f>
        <v>361</v>
      </c>
      <c r="P366" s="7" t="n">
        <f aca="false">IF(L366&gt;=0,A366,"")</f>
        <v>361</v>
      </c>
      <c r="Q366" s="7" t="n">
        <f aca="false">IF(K366&gt;=가정!$B$32,A366,"")</f>
        <v>361</v>
      </c>
      <c r="R366" s="7" t="str">
        <f aca="false">IF(MAX(0,I366)*(1-가정!$B$6)*'1억 상환'!$B$6&gt;='1억 상환'!$B$5,A366,"")</f>
        <v/>
      </c>
    </row>
    <row r="367" customFormat="false" ht="15" hidden="false" customHeight="false" outlineLevel="0" collapsed="false">
      <c r="A367" s="7" t="n">
        <v>362</v>
      </c>
      <c r="B367" s="7" t="n">
        <f aca="false">A367*가정!$B$10</f>
        <v>104980000</v>
      </c>
      <c r="C367" s="7" t="n">
        <f aca="false">가정!$B$34</f>
        <v>3590000</v>
      </c>
      <c r="D367" s="7" t="n">
        <f aca="false">ROUNDUP(MAX(0,A367-가정!$B$18)/가정!$B$19,0)</f>
        <v>7</v>
      </c>
      <c r="E367" s="7" t="n">
        <f aca="false">D367*가정!$B$20+ROUNDUP(A367/가정!$B$22,0)*가정!$B$21+ROUNDUP(A367/가정!$B$24,0)*가정!$B$23</f>
        <v>39100000</v>
      </c>
      <c r="F367" s="7" t="n">
        <f aca="false">A367*가정!$B$26+B367*가정!$B$27</f>
        <v>362000</v>
      </c>
      <c r="G367" s="7" t="n">
        <f aca="false">B367*가정!$B$28</f>
        <v>0</v>
      </c>
      <c r="H367" s="7" t="n">
        <f aca="false">B367-C367-E367-F367-G367</f>
        <v>61928000</v>
      </c>
      <c r="I367" s="7" t="n">
        <f aca="false">H367-IF(가정!$B$7=1,가정!$B$5,0)</f>
        <v>57928000</v>
      </c>
      <c r="J367" s="7" t="n">
        <f aca="false">MAX(0,I367)*가정!$B$6</f>
        <v>52135200</v>
      </c>
      <c r="K367" s="7" t="n">
        <f aca="false">가정!$B$5+J367</f>
        <v>56135200</v>
      </c>
      <c r="L367" s="7" t="n">
        <f aca="false">H367-K367</f>
        <v>5792800</v>
      </c>
      <c r="M367" s="8" t="n">
        <f aca="false">IF(B367=0,0,K367/B367)</f>
        <v>0.534722804343685</v>
      </c>
      <c r="N367" s="7" t="n">
        <f aca="false">K367/가정!$B$8</f>
        <v>280676</v>
      </c>
      <c r="O367" s="7" t="n">
        <f aca="false">IF(I367&gt;0,A367,"")</f>
        <v>362</v>
      </c>
      <c r="P367" s="7" t="n">
        <f aca="false">IF(L367&gt;=0,A367,"")</f>
        <v>362</v>
      </c>
      <c r="Q367" s="7" t="n">
        <f aca="false">IF(K367&gt;=가정!$B$32,A367,"")</f>
        <v>362</v>
      </c>
      <c r="R367" s="7" t="str">
        <f aca="false">IF(MAX(0,I367)*(1-가정!$B$6)*'1억 상환'!$B$6&gt;='1억 상환'!$B$5,A367,"")</f>
        <v/>
      </c>
    </row>
    <row r="368" customFormat="false" ht="15" hidden="false" customHeight="false" outlineLevel="0" collapsed="false">
      <c r="A368" s="7" t="n">
        <v>363</v>
      </c>
      <c r="B368" s="7" t="n">
        <f aca="false">A368*가정!$B$10</f>
        <v>105270000</v>
      </c>
      <c r="C368" s="7" t="n">
        <f aca="false">가정!$B$34</f>
        <v>3590000</v>
      </c>
      <c r="D368" s="7" t="n">
        <f aca="false">ROUNDUP(MAX(0,A368-가정!$B$18)/가정!$B$19,0)</f>
        <v>7</v>
      </c>
      <c r="E368" s="7" t="n">
        <f aca="false">D368*가정!$B$20+ROUNDUP(A368/가정!$B$22,0)*가정!$B$21+ROUNDUP(A368/가정!$B$24,0)*가정!$B$23</f>
        <v>39100000</v>
      </c>
      <c r="F368" s="7" t="n">
        <f aca="false">A368*가정!$B$26+B368*가정!$B$27</f>
        <v>363000</v>
      </c>
      <c r="G368" s="7" t="n">
        <f aca="false">B368*가정!$B$28</f>
        <v>0</v>
      </c>
      <c r="H368" s="7" t="n">
        <f aca="false">B368-C368-E368-F368-G368</f>
        <v>62217000</v>
      </c>
      <c r="I368" s="7" t="n">
        <f aca="false">H368-IF(가정!$B$7=1,가정!$B$5,0)</f>
        <v>58217000</v>
      </c>
      <c r="J368" s="7" t="n">
        <f aca="false">MAX(0,I368)*가정!$B$6</f>
        <v>52395300</v>
      </c>
      <c r="K368" s="7" t="n">
        <f aca="false">가정!$B$5+J368</f>
        <v>56395300</v>
      </c>
      <c r="L368" s="7" t="n">
        <f aca="false">H368-K368</f>
        <v>5821700</v>
      </c>
      <c r="M368" s="8" t="n">
        <f aca="false">IF(B368=0,0,K368/B368)</f>
        <v>0.535720528165669</v>
      </c>
      <c r="N368" s="7" t="n">
        <f aca="false">K368/가정!$B$8</f>
        <v>281976.5</v>
      </c>
      <c r="O368" s="7" t="n">
        <f aca="false">IF(I368&gt;0,A368,"")</f>
        <v>363</v>
      </c>
      <c r="P368" s="7" t="n">
        <f aca="false">IF(L368&gt;=0,A368,"")</f>
        <v>363</v>
      </c>
      <c r="Q368" s="7" t="n">
        <f aca="false">IF(K368&gt;=가정!$B$32,A368,"")</f>
        <v>363</v>
      </c>
      <c r="R368" s="7" t="str">
        <f aca="false">IF(MAX(0,I368)*(1-가정!$B$6)*'1억 상환'!$B$6&gt;='1억 상환'!$B$5,A368,"")</f>
        <v/>
      </c>
    </row>
    <row r="369" customFormat="false" ht="15" hidden="false" customHeight="false" outlineLevel="0" collapsed="false">
      <c r="A369" s="7" t="n">
        <v>364</v>
      </c>
      <c r="B369" s="7" t="n">
        <f aca="false">A369*가정!$B$10</f>
        <v>105560000</v>
      </c>
      <c r="C369" s="7" t="n">
        <f aca="false">가정!$B$34</f>
        <v>3590000</v>
      </c>
      <c r="D369" s="7" t="n">
        <f aca="false">ROUNDUP(MAX(0,A369-가정!$B$18)/가정!$B$19,0)</f>
        <v>7</v>
      </c>
      <c r="E369" s="7" t="n">
        <f aca="false">D369*가정!$B$20+ROUNDUP(A369/가정!$B$22,0)*가정!$B$21+ROUNDUP(A369/가정!$B$24,0)*가정!$B$23</f>
        <v>39100000</v>
      </c>
      <c r="F369" s="7" t="n">
        <f aca="false">A369*가정!$B$26+B369*가정!$B$27</f>
        <v>364000</v>
      </c>
      <c r="G369" s="7" t="n">
        <f aca="false">B369*가정!$B$28</f>
        <v>0</v>
      </c>
      <c r="H369" s="7" t="n">
        <f aca="false">B369-C369-E369-F369-G369</f>
        <v>62506000</v>
      </c>
      <c r="I369" s="7" t="n">
        <f aca="false">H369-IF(가정!$B$7=1,가정!$B$5,0)</f>
        <v>58506000</v>
      </c>
      <c r="J369" s="7" t="n">
        <f aca="false">MAX(0,I369)*가정!$B$6</f>
        <v>52655400</v>
      </c>
      <c r="K369" s="7" t="n">
        <f aca="false">가정!$B$5+J369</f>
        <v>56655400</v>
      </c>
      <c r="L369" s="7" t="n">
        <f aca="false">H369-K369</f>
        <v>5850600</v>
      </c>
      <c r="M369" s="8" t="n">
        <f aca="false">IF(B369=0,0,K369/B369)</f>
        <v>0.536712769988632</v>
      </c>
      <c r="N369" s="7" t="n">
        <f aca="false">K369/가정!$B$8</f>
        <v>283277</v>
      </c>
      <c r="O369" s="7" t="n">
        <f aca="false">IF(I369&gt;0,A369,"")</f>
        <v>364</v>
      </c>
      <c r="P369" s="7" t="n">
        <f aca="false">IF(L369&gt;=0,A369,"")</f>
        <v>364</v>
      </c>
      <c r="Q369" s="7" t="n">
        <f aca="false">IF(K369&gt;=가정!$B$32,A369,"")</f>
        <v>364</v>
      </c>
      <c r="R369" s="7" t="str">
        <f aca="false">IF(MAX(0,I369)*(1-가정!$B$6)*'1억 상환'!$B$6&gt;='1억 상환'!$B$5,A369,"")</f>
        <v/>
      </c>
    </row>
    <row r="370" customFormat="false" ht="15" hidden="false" customHeight="false" outlineLevel="0" collapsed="false">
      <c r="A370" s="7" t="n">
        <v>365</v>
      </c>
      <c r="B370" s="7" t="n">
        <f aca="false">A370*가정!$B$10</f>
        <v>105850000</v>
      </c>
      <c r="C370" s="7" t="n">
        <f aca="false">가정!$B$34</f>
        <v>3590000</v>
      </c>
      <c r="D370" s="7" t="n">
        <f aca="false">ROUNDUP(MAX(0,A370-가정!$B$18)/가정!$B$19,0)</f>
        <v>7</v>
      </c>
      <c r="E370" s="7" t="n">
        <f aca="false">D370*가정!$B$20+ROUNDUP(A370/가정!$B$22,0)*가정!$B$21+ROUNDUP(A370/가정!$B$24,0)*가정!$B$23</f>
        <v>39100000</v>
      </c>
      <c r="F370" s="7" t="n">
        <f aca="false">A370*가정!$B$26+B370*가정!$B$27</f>
        <v>365000</v>
      </c>
      <c r="G370" s="7" t="n">
        <f aca="false">B370*가정!$B$28</f>
        <v>0</v>
      </c>
      <c r="H370" s="7" t="n">
        <f aca="false">B370-C370-E370-F370-G370</f>
        <v>62795000</v>
      </c>
      <c r="I370" s="7" t="n">
        <f aca="false">H370-IF(가정!$B$7=1,가정!$B$5,0)</f>
        <v>58795000</v>
      </c>
      <c r="J370" s="7" t="n">
        <f aca="false">MAX(0,I370)*가정!$B$6</f>
        <v>52915500</v>
      </c>
      <c r="K370" s="7" t="n">
        <f aca="false">가정!$B$5+J370</f>
        <v>56915500</v>
      </c>
      <c r="L370" s="7" t="n">
        <f aca="false">H370-K370</f>
        <v>5879500</v>
      </c>
      <c r="M370" s="8" t="n">
        <f aca="false">IF(B370=0,0,K370/B370)</f>
        <v>0.537699574870099</v>
      </c>
      <c r="N370" s="7" t="n">
        <f aca="false">K370/가정!$B$8</f>
        <v>284577.5</v>
      </c>
      <c r="O370" s="7" t="n">
        <f aca="false">IF(I370&gt;0,A370,"")</f>
        <v>365</v>
      </c>
      <c r="P370" s="7" t="n">
        <f aca="false">IF(L370&gt;=0,A370,"")</f>
        <v>365</v>
      </c>
      <c r="Q370" s="7" t="n">
        <f aca="false">IF(K370&gt;=가정!$B$32,A370,"")</f>
        <v>365</v>
      </c>
      <c r="R370" s="7" t="str">
        <f aca="false">IF(MAX(0,I370)*(1-가정!$B$6)*'1억 상환'!$B$6&gt;='1억 상환'!$B$5,A370,"")</f>
        <v/>
      </c>
    </row>
    <row r="371" customFormat="false" ht="15" hidden="false" customHeight="false" outlineLevel="0" collapsed="false">
      <c r="A371" s="7" t="n">
        <v>366</v>
      </c>
      <c r="B371" s="7" t="n">
        <f aca="false">A371*가정!$B$10</f>
        <v>106140000</v>
      </c>
      <c r="C371" s="7" t="n">
        <f aca="false">가정!$B$34</f>
        <v>3590000</v>
      </c>
      <c r="D371" s="7" t="n">
        <f aca="false">ROUNDUP(MAX(0,A371-가정!$B$18)/가정!$B$19,0)</f>
        <v>7</v>
      </c>
      <c r="E371" s="7" t="n">
        <f aca="false">D371*가정!$B$20+ROUNDUP(A371/가정!$B$22,0)*가정!$B$21+ROUNDUP(A371/가정!$B$24,0)*가정!$B$23</f>
        <v>39100000</v>
      </c>
      <c r="F371" s="7" t="n">
        <f aca="false">A371*가정!$B$26+B371*가정!$B$27</f>
        <v>366000</v>
      </c>
      <c r="G371" s="7" t="n">
        <f aca="false">B371*가정!$B$28</f>
        <v>0</v>
      </c>
      <c r="H371" s="7" t="n">
        <f aca="false">B371-C371-E371-F371-G371</f>
        <v>63084000</v>
      </c>
      <c r="I371" s="7" t="n">
        <f aca="false">H371-IF(가정!$B$7=1,가정!$B$5,0)</f>
        <v>59084000</v>
      </c>
      <c r="J371" s="7" t="n">
        <f aca="false">MAX(0,I371)*가정!$B$6</f>
        <v>53175600</v>
      </c>
      <c r="K371" s="7" t="n">
        <f aca="false">가정!$B$5+J371</f>
        <v>57175600</v>
      </c>
      <c r="L371" s="7" t="n">
        <f aca="false">H371-K371</f>
        <v>5908400</v>
      </c>
      <c r="M371" s="8" t="n">
        <f aca="false">IF(B371=0,0,K371/B371)</f>
        <v>0.538680987375165</v>
      </c>
      <c r="N371" s="7" t="n">
        <f aca="false">K371/가정!$B$8</f>
        <v>285878</v>
      </c>
      <c r="O371" s="7" t="n">
        <f aca="false">IF(I371&gt;0,A371,"")</f>
        <v>366</v>
      </c>
      <c r="P371" s="7" t="n">
        <f aca="false">IF(L371&gt;=0,A371,"")</f>
        <v>366</v>
      </c>
      <c r="Q371" s="7" t="n">
        <f aca="false">IF(K371&gt;=가정!$B$32,A371,"")</f>
        <v>366</v>
      </c>
      <c r="R371" s="7" t="str">
        <f aca="false">IF(MAX(0,I371)*(1-가정!$B$6)*'1억 상환'!$B$6&gt;='1억 상환'!$B$5,A371,"")</f>
        <v/>
      </c>
    </row>
    <row r="372" customFormat="false" ht="15" hidden="false" customHeight="false" outlineLevel="0" collapsed="false">
      <c r="A372" s="7" t="n">
        <v>367</v>
      </c>
      <c r="B372" s="7" t="n">
        <f aca="false">A372*가정!$B$10</f>
        <v>106430000</v>
      </c>
      <c r="C372" s="7" t="n">
        <f aca="false">가정!$B$34</f>
        <v>3590000</v>
      </c>
      <c r="D372" s="7" t="n">
        <f aca="false">ROUNDUP(MAX(0,A372-가정!$B$18)/가정!$B$19,0)</f>
        <v>7</v>
      </c>
      <c r="E372" s="7" t="n">
        <f aca="false">D372*가정!$B$20+ROUNDUP(A372/가정!$B$22,0)*가정!$B$21+ROUNDUP(A372/가정!$B$24,0)*가정!$B$23</f>
        <v>39100000</v>
      </c>
      <c r="F372" s="7" t="n">
        <f aca="false">A372*가정!$B$26+B372*가정!$B$27</f>
        <v>367000</v>
      </c>
      <c r="G372" s="7" t="n">
        <f aca="false">B372*가정!$B$28</f>
        <v>0</v>
      </c>
      <c r="H372" s="7" t="n">
        <f aca="false">B372-C372-E372-F372-G372</f>
        <v>63373000</v>
      </c>
      <c r="I372" s="7" t="n">
        <f aca="false">H372-IF(가정!$B$7=1,가정!$B$5,0)</f>
        <v>59373000</v>
      </c>
      <c r="J372" s="7" t="n">
        <f aca="false">MAX(0,I372)*가정!$B$6</f>
        <v>53435700</v>
      </c>
      <c r="K372" s="7" t="n">
        <f aca="false">가정!$B$5+J372</f>
        <v>57435700</v>
      </c>
      <c r="L372" s="7" t="n">
        <f aca="false">H372-K372</f>
        <v>5937300</v>
      </c>
      <c r="M372" s="8" t="n">
        <f aca="false">IF(B372=0,0,K372/B372)</f>
        <v>0.5396570515832</v>
      </c>
      <c r="N372" s="7" t="n">
        <f aca="false">K372/가정!$B$8</f>
        <v>287178.5</v>
      </c>
      <c r="O372" s="7" t="n">
        <f aca="false">IF(I372&gt;0,A372,"")</f>
        <v>367</v>
      </c>
      <c r="P372" s="7" t="n">
        <f aca="false">IF(L372&gt;=0,A372,"")</f>
        <v>367</v>
      </c>
      <c r="Q372" s="7" t="n">
        <f aca="false">IF(K372&gt;=가정!$B$32,A372,"")</f>
        <v>367</v>
      </c>
      <c r="R372" s="7" t="str">
        <f aca="false">IF(MAX(0,I372)*(1-가정!$B$6)*'1억 상환'!$B$6&gt;='1억 상환'!$B$5,A372,"")</f>
        <v/>
      </c>
    </row>
    <row r="373" customFormat="false" ht="15" hidden="false" customHeight="false" outlineLevel="0" collapsed="false">
      <c r="A373" s="7" t="n">
        <v>368</v>
      </c>
      <c r="B373" s="7" t="n">
        <f aca="false">A373*가정!$B$10</f>
        <v>106720000</v>
      </c>
      <c r="C373" s="7" t="n">
        <f aca="false">가정!$B$34</f>
        <v>3590000</v>
      </c>
      <c r="D373" s="7" t="n">
        <f aca="false">ROUNDUP(MAX(0,A373-가정!$B$18)/가정!$B$19,0)</f>
        <v>7</v>
      </c>
      <c r="E373" s="7" t="n">
        <f aca="false">D373*가정!$B$20+ROUNDUP(A373/가정!$B$22,0)*가정!$B$21+ROUNDUP(A373/가정!$B$24,0)*가정!$B$23</f>
        <v>39100000</v>
      </c>
      <c r="F373" s="7" t="n">
        <f aca="false">A373*가정!$B$26+B373*가정!$B$27</f>
        <v>368000</v>
      </c>
      <c r="G373" s="7" t="n">
        <f aca="false">B373*가정!$B$28</f>
        <v>0</v>
      </c>
      <c r="H373" s="7" t="n">
        <f aca="false">B373-C373-E373-F373-G373</f>
        <v>63662000</v>
      </c>
      <c r="I373" s="7" t="n">
        <f aca="false">H373-IF(가정!$B$7=1,가정!$B$5,0)</f>
        <v>59662000</v>
      </c>
      <c r="J373" s="7" t="n">
        <f aca="false">MAX(0,I373)*가정!$B$6</f>
        <v>53695800</v>
      </c>
      <c r="K373" s="7" t="n">
        <f aca="false">가정!$B$5+J373</f>
        <v>57695800</v>
      </c>
      <c r="L373" s="7" t="n">
        <f aca="false">H373-K373</f>
        <v>5966200</v>
      </c>
      <c r="M373" s="8" t="n">
        <f aca="false">IF(B373=0,0,K373/B373)</f>
        <v>0.540627811094453</v>
      </c>
      <c r="N373" s="7" t="n">
        <f aca="false">K373/가정!$B$8</f>
        <v>288479</v>
      </c>
      <c r="O373" s="7" t="n">
        <f aca="false">IF(I373&gt;0,A373,"")</f>
        <v>368</v>
      </c>
      <c r="P373" s="7" t="n">
        <f aca="false">IF(L373&gt;=0,A373,"")</f>
        <v>368</v>
      </c>
      <c r="Q373" s="7" t="n">
        <f aca="false">IF(K373&gt;=가정!$B$32,A373,"")</f>
        <v>368</v>
      </c>
      <c r="R373" s="7" t="str">
        <f aca="false">IF(MAX(0,I373)*(1-가정!$B$6)*'1억 상환'!$B$6&gt;='1억 상환'!$B$5,A373,"")</f>
        <v/>
      </c>
    </row>
    <row r="374" customFormat="false" ht="15" hidden="false" customHeight="false" outlineLevel="0" collapsed="false">
      <c r="A374" s="7" t="n">
        <v>369</v>
      </c>
      <c r="B374" s="7" t="n">
        <f aca="false">A374*가정!$B$10</f>
        <v>107010000</v>
      </c>
      <c r="C374" s="7" t="n">
        <f aca="false">가정!$B$34</f>
        <v>3590000</v>
      </c>
      <c r="D374" s="7" t="n">
        <f aca="false">ROUNDUP(MAX(0,A374-가정!$B$18)/가정!$B$19,0)</f>
        <v>7</v>
      </c>
      <c r="E374" s="7" t="n">
        <f aca="false">D374*가정!$B$20+ROUNDUP(A374/가정!$B$22,0)*가정!$B$21+ROUNDUP(A374/가정!$B$24,0)*가정!$B$23</f>
        <v>39100000</v>
      </c>
      <c r="F374" s="7" t="n">
        <f aca="false">A374*가정!$B$26+B374*가정!$B$27</f>
        <v>369000</v>
      </c>
      <c r="G374" s="7" t="n">
        <f aca="false">B374*가정!$B$28</f>
        <v>0</v>
      </c>
      <c r="H374" s="7" t="n">
        <f aca="false">B374-C374-E374-F374-G374</f>
        <v>63951000</v>
      </c>
      <c r="I374" s="7" t="n">
        <f aca="false">H374-IF(가정!$B$7=1,가정!$B$5,0)</f>
        <v>59951000</v>
      </c>
      <c r="J374" s="7" t="n">
        <f aca="false">MAX(0,I374)*가정!$B$6</f>
        <v>53955900</v>
      </c>
      <c r="K374" s="7" t="n">
        <f aca="false">가정!$B$5+J374</f>
        <v>57955900</v>
      </c>
      <c r="L374" s="7" t="n">
        <f aca="false">H374-K374</f>
        <v>5995100</v>
      </c>
      <c r="M374" s="8" t="n">
        <f aca="false">IF(B374=0,0,K374/B374)</f>
        <v>0.541593309036539</v>
      </c>
      <c r="N374" s="7" t="n">
        <f aca="false">K374/가정!$B$8</f>
        <v>289779.5</v>
      </c>
      <c r="O374" s="7" t="n">
        <f aca="false">IF(I374&gt;0,A374,"")</f>
        <v>369</v>
      </c>
      <c r="P374" s="7" t="n">
        <f aca="false">IF(L374&gt;=0,A374,"")</f>
        <v>369</v>
      </c>
      <c r="Q374" s="7" t="n">
        <f aca="false">IF(K374&gt;=가정!$B$32,A374,"")</f>
        <v>369</v>
      </c>
      <c r="R374" s="7" t="str">
        <f aca="false">IF(MAX(0,I374)*(1-가정!$B$6)*'1억 상환'!$B$6&gt;='1억 상환'!$B$5,A374,"")</f>
        <v/>
      </c>
    </row>
    <row r="375" customFormat="false" ht="15" hidden="false" customHeight="false" outlineLevel="0" collapsed="false">
      <c r="A375" s="7" t="n">
        <v>370</v>
      </c>
      <c r="B375" s="7" t="n">
        <f aca="false">A375*가정!$B$10</f>
        <v>107300000</v>
      </c>
      <c r="C375" s="7" t="n">
        <f aca="false">가정!$B$34</f>
        <v>3590000</v>
      </c>
      <c r="D375" s="7" t="n">
        <f aca="false">ROUNDUP(MAX(0,A375-가정!$B$18)/가정!$B$19,0)</f>
        <v>7</v>
      </c>
      <c r="E375" s="7" t="n">
        <f aca="false">D375*가정!$B$20+ROUNDUP(A375/가정!$B$22,0)*가정!$B$21+ROUNDUP(A375/가정!$B$24,0)*가정!$B$23</f>
        <v>39100000</v>
      </c>
      <c r="F375" s="7" t="n">
        <f aca="false">A375*가정!$B$26+B375*가정!$B$27</f>
        <v>370000</v>
      </c>
      <c r="G375" s="7" t="n">
        <f aca="false">B375*가정!$B$28</f>
        <v>0</v>
      </c>
      <c r="H375" s="7" t="n">
        <f aca="false">B375-C375-E375-F375-G375</f>
        <v>64240000</v>
      </c>
      <c r="I375" s="7" t="n">
        <f aca="false">H375-IF(가정!$B$7=1,가정!$B$5,0)</f>
        <v>60240000</v>
      </c>
      <c r="J375" s="7" t="n">
        <f aca="false">MAX(0,I375)*가정!$B$6</f>
        <v>54216000</v>
      </c>
      <c r="K375" s="7" t="n">
        <f aca="false">가정!$B$5+J375</f>
        <v>58216000</v>
      </c>
      <c r="L375" s="7" t="n">
        <f aca="false">H375-K375</f>
        <v>6024000</v>
      </c>
      <c r="M375" s="8" t="n">
        <f aca="false">IF(B375=0,0,K375/B375)</f>
        <v>0.542553588070829</v>
      </c>
      <c r="N375" s="7" t="n">
        <f aca="false">K375/가정!$B$8</f>
        <v>291080</v>
      </c>
      <c r="O375" s="7" t="n">
        <f aca="false">IF(I375&gt;0,A375,"")</f>
        <v>370</v>
      </c>
      <c r="P375" s="7" t="n">
        <f aca="false">IF(L375&gt;=0,A375,"")</f>
        <v>370</v>
      </c>
      <c r="Q375" s="7" t="n">
        <f aca="false">IF(K375&gt;=가정!$B$32,A375,"")</f>
        <v>370</v>
      </c>
      <c r="R375" s="7" t="str">
        <f aca="false">IF(MAX(0,I375)*(1-가정!$B$6)*'1억 상환'!$B$6&gt;='1억 상환'!$B$5,A375,"")</f>
        <v/>
      </c>
    </row>
    <row r="376" customFormat="false" ht="15" hidden="false" customHeight="false" outlineLevel="0" collapsed="false">
      <c r="A376" s="7" t="n">
        <v>371</v>
      </c>
      <c r="B376" s="7" t="n">
        <f aca="false">A376*가정!$B$10</f>
        <v>107590000</v>
      </c>
      <c r="C376" s="7" t="n">
        <f aca="false">가정!$B$34</f>
        <v>3590000</v>
      </c>
      <c r="D376" s="7" t="n">
        <f aca="false">ROUNDUP(MAX(0,A376-가정!$B$18)/가정!$B$19,0)</f>
        <v>7</v>
      </c>
      <c r="E376" s="7" t="n">
        <f aca="false">D376*가정!$B$20+ROUNDUP(A376/가정!$B$22,0)*가정!$B$21+ROUNDUP(A376/가정!$B$24,0)*가정!$B$23</f>
        <v>39100000</v>
      </c>
      <c r="F376" s="7" t="n">
        <f aca="false">A376*가정!$B$26+B376*가정!$B$27</f>
        <v>371000</v>
      </c>
      <c r="G376" s="7" t="n">
        <f aca="false">B376*가정!$B$28</f>
        <v>0</v>
      </c>
      <c r="H376" s="7" t="n">
        <f aca="false">B376-C376-E376-F376-G376</f>
        <v>64529000</v>
      </c>
      <c r="I376" s="7" t="n">
        <f aca="false">H376-IF(가정!$B$7=1,가정!$B$5,0)</f>
        <v>60529000</v>
      </c>
      <c r="J376" s="7" t="n">
        <f aca="false">MAX(0,I376)*가정!$B$6</f>
        <v>54476100</v>
      </c>
      <c r="K376" s="7" t="n">
        <f aca="false">가정!$B$5+J376</f>
        <v>58476100</v>
      </c>
      <c r="L376" s="7" t="n">
        <f aca="false">H376-K376</f>
        <v>6052900</v>
      </c>
      <c r="M376" s="8" t="n">
        <f aca="false">IF(B376=0,0,K376/B376)</f>
        <v>0.543508690398736</v>
      </c>
      <c r="N376" s="7" t="n">
        <f aca="false">K376/가정!$B$8</f>
        <v>292380.5</v>
      </c>
      <c r="O376" s="7" t="n">
        <f aca="false">IF(I376&gt;0,A376,"")</f>
        <v>371</v>
      </c>
      <c r="P376" s="7" t="n">
        <f aca="false">IF(L376&gt;=0,A376,"")</f>
        <v>371</v>
      </c>
      <c r="Q376" s="7" t="n">
        <f aca="false">IF(K376&gt;=가정!$B$32,A376,"")</f>
        <v>371</v>
      </c>
      <c r="R376" s="7" t="str">
        <f aca="false">IF(MAX(0,I376)*(1-가정!$B$6)*'1억 상환'!$B$6&gt;='1억 상환'!$B$5,A376,"")</f>
        <v/>
      </c>
    </row>
    <row r="377" customFormat="false" ht="15" hidden="false" customHeight="false" outlineLevel="0" collapsed="false">
      <c r="A377" s="7" t="n">
        <v>372</v>
      </c>
      <c r="B377" s="7" t="n">
        <f aca="false">A377*가정!$B$10</f>
        <v>107880000</v>
      </c>
      <c r="C377" s="7" t="n">
        <f aca="false">가정!$B$34</f>
        <v>3590000</v>
      </c>
      <c r="D377" s="7" t="n">
        <f aca="false">ROUNDUP(MAX(0,A377-가정!$B$18)/가정!$B$19,0)</f>
        <v>7</v>
      </c>
      <c r="E377" s="7" t="n">
        <f aca="false">D377*가정!$B$20+ROUNDUP(A377/가정!$B$22,0)*가정!$B$21+ROUNDUP(A377/가정!$B$24,0)*가정!$B$23</f>
        <v>39100000</v>
      </c>
      <c r="F377" s="7" t="n">
        <f aca="false">A377*가정!$B$26+B377*가정!$B$27</f>
        <v>372000</v>
      </c>
      <c r="G377" s="7" t="n">
        <f aca="false">B377*가정!$B$28</f>
        <v>0</v>
      </c>
      <c r="H377" s="7" t="n">
        <f aca="false">B377-C377-E377-F377-G377</f>
        <v>64818000</v>
      </c>
      <c r="I377" s="7" t="n">
        <f aca="false">H377-IF(가정!$B$7=1,가정!$B$5,0)</f>
        <v>60818000</v>
      </c>
      <c r="J377" s="7" t="n">
        <f aca="false">MAX(0,I377)*가정!$B$6</f>
        <v>54736200</v>
      </c>
      <c r="K377" s="7" t="n">
        <f aca="false">가정!$B$5+J377</f>
        <v>58736200</v>
      </c>
      <c r="L377" s="7" t="n">
        <f aca="false">H377-K377</f>
        <v>6081800</v>
      </c>
      <c r="M377" s="8" t="n">
        <f aca="false">IF(B377=0,0,K377/B377)</f>
        <v>0.54445865776789</v>
      </c>
      <c r="N377" s="7" t="n">
        <f aca="false">K377/가정!$B$8</f>
        <v>293681</v>
      </c>
      <c r="O377" s="7" t="n">
        <f aca="false">IF(I377&gt;0,A377,"")</f>
        <v>372</v>
      </c>
      <c r="P377" s="7" t="n">
        <f aca="false">IF(L377&gt;=0,A377,"")</f>
        <v>372</v>
      </c>
      <c r="Q377" s="7" t="n">
        <f aca="false">IF(K377&gt;=가정!$B$32,A377,"")</f>
        <v>372</v>
      </c>
      <c r="R377" s="7" t="str">
        <f aca="false">IF(MAX(0,I377)*(1-가정!$B$6)*'1억 상환'!$B$6&gt;='1억 상환'!$B$5,A377,"")</f>
        <v/>
      </c>
    </row>
    <row r="378" customFormat="false" ht="15" hidden="false" customHeight="false" outlineLevel="0" collapsed="false">
      <c r="A378" s="7" t="n">
        <v>373</v>
      </c>
      <c r="B378" s="7" t="n">
        <f aca="false">A378*가정!$B$10</f>
        <v>108170000</v>
      </c>
      <c r="C378" s="7" t="n">
        <f aca="false">가정!$B$34</f>
        <v>3590000</v>
      </c>
      <c r="D378" s="7" t="n">
        <f aca="false">ROUNDUP(MAX(0,A378-가정!$B$18)/가정!$B$19,0)</f>
        <v>7</v>
      </c>
      <c r="E378" s="7" t="n">
        <f aca="false">D378*가정!$B$20+ROUNDUP(A378/가정!$B$22,0)*가정!$B$21+ROUNDUP(A378/가정!$B$24,0)*가정!$B$23</f>
        <v>39100000</v>
      </c>
      <c r="F378" s="7" t="n">
        <f aca="false">A378*가정!$B$26+B378*가정!$B$27</f>
        <v>373000</v>
      </c>
      <c r="G378" s="7" t="n">
        <f aca="false">B378*가정!$B$28</f>
        <v>0</v>
      </c>
      <c r="H378" s="7" t="n">
        <f aca="false">B378-C378-E378-F378-G378</f>
        <v>65107000</v>
      </c>
      <c r="I378" s="7" t="n">
        <f aca="false">H378-IF(가정!$B$7=1,가정!$B$5,0)</f>
        <v>61107000</v>
      </c>
      <c r="J378" s="7" t="n">
        <f aca="false">MAX(0,I378)*가정!$B$6</f>
        <v>54996300</v>
      </c>
      <c r="K378" s="7" t="n">
        <f aca="false">가정!$B$5+J378</f>
        <v>58996300</v>
      </c>
      <c r="L378" s="7" t="n">
        <f aca="false">H378-K378</f>
        <v>6110700</v>
      </c>
      <c r="M378" s="8" t="n">
        <f aca="false">IF(B378=0,0,K378/B378)</f>
        <v>0.545403531478229</v>
      </c>
      <c r="N378" s="7" t="n">
        <f aca="false">K378/가정!$B$8</f>
        <v>294981.5</v>
      </c>
      <c r="O378" s="7" t="n">
        <f aca="false">IF(I378&gt;0,A378,"")</f>
        <v>373</v>
      </c>
      <c r="P378" s="7" t="n">
        <f aca="false">IF(L378&gt;=0,A378,"")</f>
        <v>373</v>
      </c>
      <c r="Q378" s="7" t="n">
        <f aca="false">IF(K378&gt;=가정!$B$32,A378,"")</f>
        <v>373</v>
      </c>
      <c r="R378" s="7" t="str">
        <f aca="false">IF(MAX(0,I378)*(1-가정!$B$6)*'1억 상환'!$B$6&gt;='1억 상환'!$B$5,A378,"")</f>
        <v/>
      </c>
    </row>
    <row r="379" customFormat="false" ht="15" hidden="false" customHeight="false" outlineLevel="0" collapsed="false">
      <c r="A379" s="7" t="n">
        <v>374</v>
      </c>
      <c r="B379" s="7" t="n">
        <f aca="false">A379*가정!$B$10</f>
        <v>108460000</v>
      </c>
      <c r="C379" s="7" t="n">
        <f aca="false">가정!$B$34</f>
        <v>3590000</v>
      </c>
      <c r="D379" s="7" t="n">
        <f aca="false">ROUNDUP(MAX(0,A379-가정!$B$18)/가정!$B$19,0)</f>
        <v>7</v>
      </c>
      <c r="E379" s="7" t="n">
        <f aca="false">D379*가정!$B$20+ROUNDUP(A379/가정!$B$22,0)*가정!$B$21+ROUNDUP(A379/가정!$B$24,0)*가정!$B$23</f>
        <v>39100000</v>
      </c>
      <c r="F379" s="7" t="n">
        <f aca="false">A379*가정!$B$26+B379*가정!$B$27</f>
        <v>374000</v>
      </c>
      <c r="G379" s="7" t="n">
        <f aca="false">B379*가정!$B$28</f>
        <v>0</v>
      </c>
      <c r="H379" s="7" t="n">
        <f aca="false">B379-C379-E379-F379-G379</f>
        <v>65396000</v>
      </c>
      <c r="I379" s="7" t="n">
        <f aca="false">H379-IF(가정!$B$7=1,가정!$B$5,0)</f>
        <v>61396000</v>
      </c>
      <c r="J379" s="7" t="n">
        <f aca="false">MAX(0,I379)*가정!$B$6</f>
        <v>55256400</v>
      </c>
      <c r="K379" s="7" t="n">
        <f aca="false">가정!$B$5+J379</f>
        <v>59256400</v>
      </c>
      <c r="L379" s="7" t="n">
        <f aca="false">H379-K379</f>
        <v>6139600</v>
      </c>
      <c r="M379" s="8" t="n">
        <f aca="false">IF(B379=0,0,K379/B379)</f>
        <v>0.546343352387977</v>
      </c>
      <c r="N379" s="7" t="n">
        <f aca="false">K379/가정!$B$8</f>
        <v>296282</v>
      </c>
      <c r="O379" s="7" t="n">
        <f aca="false">IF(I379&gt;0,A379,"")</f>
        <v>374</v>
      </c>
      <c r="P379" s="7" t="n">
        <f aca="false">IF(L379&gt;=0,A379,"")</f>
        <v>374</v>
      </c>
      <c r="Q379" s="7" t="n">
        <f aca="false">IF(K379&gt;=가정!$B$32,A379,"")</f>
        <v>374</v>
      </c>
      <c r="R379" s="7" t="str">
        <f aca="false">IF(MAX(0,I379)*(1-가정!$B$6)*'1억 상환'!$B$6&gt;='1억 상환'!$B$5,A379,"")</f>
        <v/>
      </c>
    </row>
    <row r="380" customFormat="false" ht="15" hidden="false" customHeight="false" outlineLevel="0" collapsed="false">
      <c r="A380" s="7" t="n">
        <v>375</v>
      </c>
      <c r="B380" s="7" t="n">
        <f aca="false">A380*가정!$B$10</f>
        <v>108750000</v>
      </c>
      <c r="C380" s="7" t="n">
        <f aca="false">가정!$B$34</f>
        <v>3590000</v>
      </c>
      <c r="D380" s="7" t="n">
        <f aca="false">ROUNDUP(MAX(0,A380-가정!$B$18)/가정!$B$19,0)</f>
        <v>7</v>
      </c>
      <c r="E380" s="7" t="n">
        <f aca="false">D380*가정!$B$20+ROUNDUP(A380/가정!$B$22,0)*가정!$B$21+ROUNDUP(A380/가정!$B$24,0)*가정!$B$23</f>
        <v>39100000</v>
      </c>
      <c r="F380" s="7" t="n">
        <f aca="false">A380*가정!$B$26+B380*가정!$B$27</f>
        <v>375000</v>
      </c>
      <c r="G380" s="7" t="n">
        <f aca="false">B380*가정!$B$28</f>
        <v>0</v>
      </c>
      <c r="H380" s="7" t="n">
        <f aca="false">B380-C380-E380-F380-G380</f>
        <v>65685000</v>
      </c>
      <c r="I380" s="7" t="n">
        <f aca="false">H380-IF(가정!$B$7=1,가정!$B$5,0)</f>
        <v>61685000</v>
      </c>
      <c r="J380" s="7" t="n">
        <f aca="false">MAX(0,I380)*가정!$B$6</f>
        <v>55516500</v>
      </c>
      <c r="K380" s="7" t="n">
        <f aca="false">가정!$B$5+J380</f>
        <v>59516500</v>
      </c>
      <c r="L380" s="7" t="n">
        <f aca="false">H380-K380</f>
        <v>6168500</v>
      </c>
      <c r="M380" s="8" t="n">
        <f aca="false">IF(B380=0,0,K380/B380)</f>
        <v>0.54727816091954</v>
      </c>
      <c r="N380" s="7" t="n">
        <f aca="false">K380/가정!$B$8</f>
        <v>297582.5</v>
      </c>
      <c r="O380" s="7" t="n">
        <f aca="false">IF(I380&gt;0,A380,"")</f>
        <v>375</v>
      </c>
      <c r="P380" s="7" t="n">
        <f aca="false">IF(L380&gt;=0,A380,"")</f>
        <v>375</v>
      </c>
      <c r="Q380" s="7" t="n">
        <f aca="false">IF(K380&gt;=가정!$B$32,A380,"")</f>
        <v>375</v>
      </c>
      <c r="R380" s="7" t="str">
        <f aca="false">IF(MAX(0,I380)*(1-가정!$B$6)*'1억 상환'!$B$6&gt;='1억 상환'!$B$5,A380,"")</f>
        <v/>
      </c>
    </row>
    <row r="381" customFormat="false" ht="15" hidden="false" customHeight="false" outlineLevel="0" collapsed="false">
      <c r="A381" s="7" t="n">
        <v>376</v>
      </c>
      <c r="B381" s="7" t="n">
        <f aca="false">A381*가정!$B$10</f>
        <v>109040000</v>
      </c>
      <c r="C381" s="7" t="n">
        <f aca="false">가정!$B$34</f>
        <v>3590000</v>
      </c>
      <c r="D381" s="7" t="n">
        <f aca="false">ROUNDUP(MAX(0,A381-가정!$B$18)/가정!$B$19,0)</f>
        <v>7</v>
      </c>
      <c r="E381" s="7" t="n">
        <f aca="false">D381*가정!$B$20+ROUNDUP(A381/가정!$B$22,0)*가정!$B$21+ROUNDUP(A381/가정!$B$24,0)*가정!$B$23</f>
        <v>39100000</v>
      </c>
      <c r="F381" s="7" t="n">
        <f aca="false">A381*가정!$B$26+B381*가정!$B$27</f>
        <v>376000</v>
      </c>
      <c r="G381" s="7" t="n">
        <f aca="false">B381*가정!$B$28</f>
        <v>0</v>
      </c>
      <c r="H381" s="7" t="n">
        <f aca="false">B381-C381-E381-F381-G381</f>
        <v>65974000</v>
      </c>
      <c r="I381" s="7" t="n">
        <f aca="false">H381-IF(가정!$B$7=1,가정!$B$5,0)</f>
        <v>61974000</v>
      </c>
      <c r="J381" s="7" t="n">
        <f aca="false">MAX(0,I381)*가정!$B$6</f>
        <v>55776600</v>
      </c>
      <c r="K381" s="7" t="n">
        <f aca="false">가정!$B$5+J381</f>
        <v>59776600</v>
      </c>
      <c r="L381" s="7" t="n">
        <f aca="false">H381-K381</f>
        <v>6197400</v>
      </c>
      <c r="M381" s="8" t="n">
        <f aca="false">IF(B381=0,0,K381/B381)</f>
        <v>0.548207997065297</v>
      </c>
      <c r="N381" s="7" t="n">
        <f aca="false">K381/가정!$B$8</f>
        <v>298883</v>
      </c>
      <c r="O381" s="7" t="n">
        <f aca="false">IF(I381&gt;0,A381,"")</f>
        <v>376</v>
      </c>
      <c r="P381" s="7" t="n">
        <f aca="false">IF(L381&gt;=0,A381,"")</f>
        <v>376</v>
      </c>
      <c r="Q381" s="7" t="n">
        <f aca="false">IF(K381&gt;=가정!$B$32,A381,"")</f>
        <v>376</v>
      </c>
      <c r="R381" s="7" t="str">
        <f aca="false">IF(MAX(0,I381)*(1-가정!$B$6)*'1억 상환'!$B$6&gt;='1억 상환'!$B$5,A381,"")</f>
        <v/>
      </c>
    </row>
    <row r="382" customFormat="false" ht="15" hidden="false" customHeight="false" outlineLevel="0" collapsed="false">
      <c r="A382" s="7" t="n">
        <v>377</v>
      </c>
      <c r="B382" s="7" t="n">
        <f aca="false">A382*가정!$B$10</f>
        <v>109330000</v>
      </c>
      <c r="C382" s="7" t="n">
        <f aca="false">가정!$B$34</f>
        <v>3590000</v>
      </c>
      <c r="D382" s="7" t="n">
        <f aca="false">ROUNDUP(MAX(0,A382-가정!$B$18)/가정!$B$19,0)</f>
        <v>7</v>
      </c>
      <c r="E382" s="7" t="n">
        <f aca="false">D382*가정!$B$20+ROUNDUP(A382/가정!$B$22,0)*가정!$B$21+ROUNDUP(A382/가정!$B$24,0)*가정!$B$23</f>
        <v>39100000</v>
      </c>
      <c r="F382" s="7" t="n">
        <f aca="false">A382*가정!$B$26+B382*가정!$B$27</f>
        <v>377000</v>
      </c>
      <c r="G382" s="7" t="n">
        <f aca="false">B382*가정!$B$28</f>
        <v>0</v>
      </c>
      <c r="H382" s="7" t="n">
        <f aca="false">B382-C382-E382-F382-G382</f>
        <v>66263000</v>
      </c>
      <c r="I382" s="7" t="n">
        <f aca="false">H382-IF(가정!$B$7=1,가정!$B$5,0)</f>
        <v>62263000</v>
      </c>
      <c r="J382" s="7" t="n">
        <f aca="false">MAX(0,I382)*가정!$B$6</f>
        <v>56036700</v>
      </c>
      <c r="K382" s="7" t="n">
        <f aca="false">가정!$B$5+J382</f>
        <v>60036700</v>
      </c>
      <c r="L382" s="7" t="n">
        <f aca="false">H382-K382</f>
        <v>6226300</v>
      </c>
      <c r="M382" s="8" t="n">
        <f aca="false">IF(B382=0,0,K382/B382)</f>
        <v>0.549132900393305</v>
      </c>
      <c r="N382" s="7" t="n">
        <f aca="false">K382/가정!$B$8</f>
        <v>300183.5</v>
      </c>
      <c r="O382" s="7" t="n">
        <f aca="false">IF(I382&gt;0,A382,"")</f>
        <v>377</v>
      </c>
      <c r="P382" s="7" t="n">
        <f aca="false">IF(L382&gt;=0,A382,"")</f>
        <v>377</v>
      </c>
      <c r="Q382" s="7" t="n">
        <f aca="false">IF(K382&gt;=가정!$B$32,A382,"")</f>
        <v>377</v>
      </c>
      <c r="R382" s="7" t="str">
        <f aca="false">IF(MAX(0,I382)*(1-가정!$B$6)*'1억 상환'!$B$6&gt;='1억 상환'!$B$5,A382,"")</f>
        <v/>
      </c>
    </row>
    <row r="383" customFormat="false" ht="15" hidden="false" customHeight="false" outlineLevel="0" collapsed="false">
      <c r="A383" s="7" t="n">
        <v>378</v>
      </c>
      <c r="B383" s="7" t="n">
        <f aca="false">A383*가정!$B$10</f>
        <v>109620000</v>
      </c>
      <c r="C383" s="7" t="n">
        <f aca="false">가정!$B$34</f>
        <v>3590000</v>
      </c>
      <c r="D383" s="7" t="n">
        <f aca="false">ROUNDUP(MAX(0,A383-가정!$B$18)/가정!$B$19,0)</f>
        <v>7</v>
      </c>
      <c r="E383" s="7" t="n">
        <f aca="false">D383*가정!$B$20+ROUNDUP(A383/가정!$B$22,0)*가정!$B$21+ROUNDUP(A383/가정!$B$24,0)*가정!$B$23</f>
        <v>39100000</v>
      </c>
      <c r="F383" s="7" t="n">
        <f aca="false">A383*가정!$B$26+B383*가정!$B$27</f>
        <v>378000</v>
      </c>
      <c r="G383" s="7" t="n">
        <f aca="false">B383*가정!$B$28</f>
        <v>0</v>
      </c>
      <c r="H383" s="7" t="n">
        <f aca="false">B383-C383-E383-F383-G383</f>
        <v>66552000</v>
      </c>
      <c r="I383" s="7" t="n">
        <f aca="false">H383-IF(가정!$B$7=1,가정!$B$5,0)</f>
        <v>62552000</v>
      </c>
      <c r="J383" s="7" t="n">
        <f aca="false">MAX(0,I383)*가정!$B$6</f>
        <v>56296800</v>
      </c>
      <c r="K383" s="7" t="n">
        <f aca="false">가정!$B$5+J383</f>
        <v>60296800</v>
      </c>
      <c r="L383" s="7" t="n">
        <f aca="false">H383-K383</f>
        <v>6255200</v>
      </c>
      <c r="M383" s="8" t="n">
        <f aca="false">IF(B383=0,0,K383/B383)</f>
        <v>0.55005291005291</v>
      </c>
      <c r="N383" s="7" t="n">
        <f aca="false">K383/가정!$B$8</f>
        <v>301484</v>
      </c>
      <c r="O383" s="7" t="n">
        <f aca="false">IF(I383&gt;0,A383,"")</f>
        <v>378</v>
      </c>
      <c r="P383" s="7" t="n">
        <f aca="false">IF(L383&gt;=0,A383,"")</f>
        <v>378</v>
      </c>
      <c r="Q383" s="7" t="n">
        <f aca="false">IF(K383&gt;=가정!$B$32,A383,"")</f>
        <v>378</v>
      </c>
      <c r="R383" s="7" t="str">
        <f aca="false">IF(MAX(0,I383)*(1-가정!$B$6)*'1억 상환'!$B$6&gt;='1억 상환'!$B$5,A383,"")</f>
        <v/>
      </c>
    </row>
    <row r="384" customFormat="false" ht="15" hidden="false" customHeight="false" outlineLevel="0" collapsed="false">
      <c r="A384" s="7" t="n">
        <v>379</v>
      </c>
      <c r="B384" s="7" t="n">
        <f aca="false">A384*가정!$B$10</f>
        <v>109910000</v>
      </c>
      <c r="C384" s="7" t="n">
        <f aca="false">가정!$B$34</f>
        <v>3590000</v>
      </c>
      <c r="D384" s="7" t="n">
        <f aca="false">ROUNDUP(MAX(0,A384-가정!$B$18)/가정!$B$19,0)</f>
        <v>7</v>
      </c>
      <c r="E384" s="7" t="n">
        <f aca="false">D384*가정!$B$20+ROUNDUP(A384/가정!$B$22,0)*가정!$B$21+ROUNDUP(A384/가정!$B$24,0)*가정!$B$23</f>
        <v>39100000</v>
      </c>
      <c r="F384" s="7" t="n">
        <f aca="false">A384*가정!$B$26+B384*가정!$B$27</f>
        <v>379000</v>
      </c>
      <c r="G384" s="7" t="n">
        <f aca="false">B384*가정!$B$28</f>
        <v>0</v>
      </c>
      <c r="H384" s="7" t="n">
        <f aca="false">B384-C384-E384-F384-G384</f>
        <v>66841000</v>
      </c>
      <c r="I384" s="7" t="n">
        <f aca="false">H384-IF(가정!$B$7=1,가정!$B$5,0)</f>
        <v>62841000</v>
      </c>
      <c r="J384" s="7" t="n">
        <f aca="false">MAX(0,I384)*가정!$B$6</f>
        <v>56556900</v>
      </c>
      <c r="K384" s="7" t="n">
        <f aca="false">가정!$B$5+J384</f>
        <v>60556900</v>
      </c>
      <c r="L384" s="7" t="n">
        <f aca="false">H384-K384</f>
        <v>6284100</v>
      </c>
      <c r="M384" s="8" t="n">
        <f aca="false">IF(B384=0,0,K384/B384)</f>
        <v>0.550968064780275</v>
      </c>
      <c r="N384" s="7" t="n">
        <f aca="false">K384/가정!$B$8</f>
        <v>302784.5</v>
      </c>
      <c r="O384" s="7" t="n">
        <f aca="false">IF(I384&gt;0,A384,"")</f>
        <v>379</v>
      </c>
      <c r="P384" s="7" t="n">
        <f aca="false">IF(L384&gt;=0,A384,"")</f>
        <v>379</v>
      </c>
      <c r="Q384" s="7" t="n">
        <f aca="false">IF(K384&gt;=가정!$B$32,A384,"")</f>
        <v>379</v>
      </c>
      <c r="R384" s="7" t="str">
        <f aca="false">IF(MAX(0,I384)*(1-가정!$B$6)*'1억 상환'!$B$6&gt;='1억 상환'!$B$5,A384,"")</f>
        <v/>
      </c>
    </row>
    <row r="385" customFormat="false" ht="15" hidden="false" customHeight="false" outlineLevel="0" collapsed="false">
      <c r="A385" s="7" t="n">
        <v>380</v>
      </c>
      <c r="B385" s="7" t="n">
        <f aca="false">A385*가정!$B$10</f>
        <v>110200000</v>
      </c>
      <c r="C385" s="7" t="n">
        <f aca="false">가정!$B$34</f>
        <v>3590000</v>
      </c>
      <c r="D385" s="7" t="n">
        <f aca="false">ROUNDUP(MAX(0,A385-가정!$B$18)/가정!$B$19,0)</f>
        <v>7</v>
      </c>
      <c r="E385" s="7" t="n">
        <f aca="false">D385*가정!$B$20+ROUNDUP(A385/가정!$B$22,0)*가정!$B$21+ROUNDUP(A385/가정!$B$24,0)*가정!$B$23</f>
        <v>39100000</v>
      </c>
      <c r="F385" s="7" t="n">
        <f aca="false">A385*가정!$B$26+B385*가정!$B$27</f>
        <v>380000</v>
      </c>
      <c r="G385" s="7" t="n">
        <f aca="false">B385*가정!$B$28</f>
        <v>0</v>
      </c>
      <c r="H385" s="7" t="n">
        <f aca="false">B385-C385-E385-F385-G385</f>
        <v>67130000</v>
      </c>
      <c r="I385" s="7" t="n">
        <f aca="false">H385-IF(가정!$B$7=1,가정!$B$5,0)</f>
        <v>63130000</v>
      </c>
      <c r="J385" s="7" t="n">
        <f aca="false">MAX(0,I385)*가정!$B$6</f>
        <v>56817000</v>
      </c>
      <c r="K385" s="7" t="n">
        <f aca="false">가정!$B$5+J385</f>
        <v>60817000</v>
      </c>
      <c r="L385" s="7" t="n">
        <f aca="false">H385-K385</f>
        <v>6313000</v>
      </c>
      <c r="M385" s="8" t="n">
        <f aca="false">IF(B385=0,0,K385/B385)</f>
        <v>0.551878402903811</v>
      </c>
      <c r="N385" s="7" t="n">
        <f aca="false">K385/가정!$B$8</f>
        <v>304085</v>
      </c>
      <c r="O385" s="7" t="n">
        <f aca="false">IF(I385&gt;0,A385,"")</f>
        <v>380</v>
      </c>
      <c r="P385" s="7" t="n">
        <f aca="false">IF(L385&gt;=0,A385,"")</f>
        <v>380</v>
      </c>
      <c r="Q385" s="7" t="n">
        <f aca="false">IF(K385&gt;=가정!$B$32,A385,"")</f>
        <v>380</v>
      </c>
      <c r="R385" s="7" t="str">
        <f aca="false">IF(MAX(0,I385)*(1-가정!$B$6)*'1억 상환'!$B$6&gt;='1억 상환'!$B$5,A385,"")</f>
        <v/>
      </c>
    </row>
    <row r="386" customFormat="false" ht="15" hidden="false" customHeight="false" outlineLevel="0" collapsed="false">
      <c r="A386" s="7" t="n">
        <v>381</v>
      </c>
      <c r="B386" s="7" t="n">
        <f aca="false">A386*가정!$B$10</f>
        <v>110490000</v>
      </c>
      <c r="C386" s="7" t="n">
        <f aca="false">가정!$B$34</f>
        <v>3590000</v>
      </c>
      <c r="D386" s="7" t="n">
        <f aca="false">ROUNDUP(MAX(0,A386-가정!$B$18)/가정!$B$19,0)</f>
        <v>7</v>
      </c>
      <c r="E386" s="7" t="n">
        <f aca="false">D386*가정!$B$20+ROUNDUP(A386/가정!$B$22,0)*가정!$B$21+ROUNDUP(A386/가정!$B$24,0)*가정!$B$23</f>
        <v>39100000</v>
      </c>
      <c r="F386" s="7" t="n">
        <f aca="false">A386*가정!$B$26+B386*가정!$B$27</f>
        <v>381000</v>
      </c>
      <c r="G386" s="7" t="n">
        <f aca="false">B386*가정!$B$28</f>
        <v>0</v>
      </c>
      <c r="H386" s="7" t="n">
        <f aca="false">B386-C386-E386-F386-G386</f>
        <v>67419000</v>
      </c>
      <c r="I386" s="7" t="n">
        <f aca="false">H386-IF(가정!$B$7=1,가정!$B$5,0)</f>
        <v>63419000</v>
      </c>
      <c r="J386" s="7" t="n">
        <f aca="false">MAX(0,I386)*가정!$B$6</f>
        <v>57077100</v>
      </c>
      <c r="K386" s="7" t="n">
        <f aca="false">가정!$B$5+J386</f>
        <v>61077100</v>
      </c>
      <c r="L386" s="7" t="n">
        <f aca="false">H386-K386</f>
        <v>6341900</v>
      </c>
      <c r="M386" s="8" t="n">
        <f aca="false">IF(B386=0,0,K386/B386)</f>
        <v>0.552783962349534</v>
      </c>
      <c r="N386" s="7" t="n">
        <f aca="false">K386/가정!$B$8</f>
        <v>305385.5</v>
      </c>
      <c r="O386" s="7" t="n">
        <f aca="false">IF(I386&gt;0,A386,"")</f>
        <v>381</v>
      </c>
      <c r="P386" s="7" t="n">
        <f aca="false">IF(L386&gt;=0,A386,"")</f>
        <v>381</v>
      </c>
      <c r="Q386" s="7" t="n">
        <f aca="false">IF(K386&gt;=가정!$B$32,A386,"")</f>
        <v>381</v>
      </c>
      <c r="R386" s="7" t="str">
        <f aca="false">IF(MAX(0,I386)*(1-가정!$B$6)*'1억 상환'!$B$6&gt;='1억 상환'!$B$5,A386,"")</f>
        <v/>
      </c>
    </row>
    <row r="387" customFormat="false" ht="15" hidden="false" customHeight="false" outlineLevel="0" collapsed="false">
      <c r="A387" s="7" t="n">
        <v>382</v>
      </c>
      <c r="B387" s="7" t="n">
        <f aca="false">A387*가정!$B$10</f>
        <v>110780000</v>
      </c>
      <c r="C387" s="7" t="n">
        <f aca="false">가정!$B$34</f>
        <v>3590000</v>
      </c>
      <c r="D387" s="7" t="n">
        <f aca="false">ROUNDUP(MAX(0,A387-가정!$B$18)/가정!$B$19,0)</f>
        <v>7</v>
      </c>
      <c r="E387" s="7" t="n">
        <f aca="false">D387*가정!$B$20+ROUNDUP(A387/가정!$B$22,0)*가정!$B$21+ROUNDUP(A387/가정!$B$24,0)*가정!$B$23</f>
        <v>39100000</v>
      </c>
      <c r="F387" s="7" t="n">
        <f aca="false">A387*가정!$B$26+B387*가정!$B$27</f>
        <v>382000</v>
      </c>
      <c r="G387" s="7" t="n">
        <f aca="false">B387*가정!$B$28</f>
        <v>0</v>
      </c>
      <c r="H387" s="7" t="n">
        <f aca="false">B387-C387-E387-F387-G387</f>
        <v>67708000</v>
      </c>
      <c r="I387" s="7" t="n">
        <f aca="false">H387-IF(가정!$B$7=1,가정!$B$5,0)</f>
        <v>63708000</v>
      </c>
      <c r="J387" s="7" t="n">
        <f aca="false">MAX(0,I387)*가정!$B$6</f>
        <v>57337200</v>
      </c>
      <c r="K387" s="7" t="n">
        <f aca="false">가정!$B$5+J387</f>
        <v>61337200</v>
      </c>
      <c r="L387" s="7" t="n">
        <f aca="false">H387-K387</f>
        <v>6370800</v>
      </c>
      <c r="M387" s="8" t="n">
        <f aca="false">IF(B387=0,0,K387/B387)</f>
        <v>0.553684780646326</v>
      </c>
      <c r="N387" s="7" t="n">
        <f aca="false">K387/가정!$B$8</f>
        <v>306686</v>
      </c>
      <c r="O387" s="7" t="n">
        <f aca="false">IF(I387&gt;0,A387,"")</f>
        <v>382</v>
      </c>
      <c r="P387" s="7" t="n">
        <f aca="false">IF(L387&gt;=0,A387,"")</f>
        <v>382</v>
      </c>
      <c r="Q387" s="7" t="n">
        <f aca="false">IF(K387&gt;=가정!$B$32,A387,"")</f>
        <v>382</v>
      </c>
      <c r="R387" s="7" t="str">
        <f aca="false">IF(MAX(0,I387)*(1-가정!$B$6)*'1억 상환'!$B$6&gt;='1억 상환'!$B$5,A387,"")</f>
        <v/>
      </c>
    </row>
    <row r="388" customFormat="false" ht="15" hidden="false" customHeight="false" outlineLevel="0" collapsed="false">
      <c r="A388" s="7" t="n">
        <v>383</v>
      </c>
      <c r="B388" s="7" t="n">
        <f aca="false">A388*가정!$B$10</f>
        <v>111070000</v>
      </c>
      <c r="C388" s="7" t="n">
        <f aca="false">가정!$B$34</f>
        <v>3590000</v>
      </c>
      <c r="D388" s="7" t="n">
        <f aca="false">ROUNDUP(MAX(0,A388-가정!$B$18)/가정!$B$19,0)</f>
        <v>7</v>
      </c>
      <c r="E388" s="7" t="n">
        <f aca="false">D388*가정!$B$20+ROUNDUP(A388/가정!$B$22,0)*가정!$B$21+ROUNDUP(A388/가정!$B$24,0)*가정!$B$23</f>
        <v>39100000</v>
      </c>
      <c r="F388" s="7" t="n">
        <f aca="false">A388*가정!$B$26+B388*가정!$B$27</f>
        <v>383000</v>
      </c>
      <c r="G388" s="7" t="n">
        <f aca="false">B388*가정!$B$28</f>
        <v>0</v>
      </c>
      <c r="H388" s="7" t="n">
        <f aca="false">B388-C388-E388-F388-G388</f>
        <v>67997000</v>
      </c>
      <c r="I388" s="7" t="n">
        <f aca="false">H388-IF(가정!$B$7=1,가정!$B$5,0)</f>
        <v>63997000</v>
      </c>
      <c r="J388" s="7" t="n">
        <f aca="false">MAX(0,I388)*가정!$B$6</f>
        <v>57597300</v>
      </c>
      <c r="K388" s="7" t="n">
        <f aca="false">가정!$B$5+J388</f>
        <v>61597300</v>
      </c>
      <c r="L388" s="7" t="n">
        <f aca="false">H388-K388</f>
        <v>6399700</v>
      </c>
      <c r="M388" s="8" t="n">
        <f aca="false">IF(B388=0,0,K388/B388)</f>
        <v>0.554580894931125</v>
      </c>
      <c r="N388" s="7" t="n">
        <f aca="false">K388/가정!$B$8</f>
        <v>307986.5</v>
      </c>
      <c r="O388" s="7" t="n">
        <f aca="false">IF(I388&gt;0,A388,"")</f>
        <v>383</v>
      </c>
      <c r="P388" s="7" t="n">
        <f aca="false">IF(L388&gt;=0,A388,"")</f>
        <v>383</v>
      </c>
      <c r="Q388" s="7" t="n">
        <f aca="false">IF(K388&gt;=가정!$B$32,A388,"")</f>
        <v>383</v>
      </c>
      <c r="R388" s="7" t="str">
        <f aca="false">IF(MAX(0,I388)*(1-가정!$B$6)*'1억 상환'!$B$6&gt;='1억 상환'!$B$5,A388,"")</f>
        <v/>
      </c>
    </row>
    <row r="389" customFormat="false" ht="15" hidden="false" customHeight="false" outlineLevel="0" collapsed="false">
      <c r="A389" s="7" t="n">
        <v>384</v>
      </c>
      <c r="B389" s="7" t="n">
        <f aca="false">A389*가정!$B$10</f>
        <v>111360000</v>
      </c>
      <c r="C389" s="7" t="n">
        <f aca="false">가정!$B$34</f>
        <v>3590000</v>
      </c>
      <c r="D389" s="7" t="n">
        <f aca="false">ROUNDUP(MAX(0,A389-가정!$B$18)/가정!$B$19,0)</f>
        <v>7</v>
      </c>
      <c r="E389" s="7" t="n">
        <f aca="false">D389*가정!$B$20+ROUNDUP(A389/가정!$B$22,0)*가정!$B$21+ROUNDUP(A389/가정!$B$24,0)*가정!$B$23</f>
        <v>39100000</v>
      </c>
      <c r="F389" s="7" t="n">
        <f aca="false">A389*가정!$B$26+B389*가정!$B$27</f>
        <v>384000</v>
      </c>
      <c r="G389" s="7" t="n">
        <f aca="false">B389*가정!$B$28</f>
        <v>0</v>
      </c>
      <c r="H389" s="7" t="n">
        <f aca="false">B389-C389-E389-F389-G389</f>
        <v>68286000</v>
      </c>
      <c r="I389" s="7" t="n">
        <f aca="false">H389-IF(가정!$B$7=1,가정!$B$5,0)</f>
        <v>64286000</v>
      </c>
      <c r="J389" s="7" t="n">
        <f aca="false">MAX(0,I389)*가정!$B$6</f>
        <v>57857400</v>
      </c>
      <c r="K389" s="7" t="n">
        <f aca="false">가정!$B$5+J389</f>
        <v>61857400</v>
      </c>
      <c r="L389" s="7" t="n">
        <f aca="false">H389-K389</f>
        <v>6428600</v>
      </c>
      <c r="M389" s="8" t="n">
        <f aca="false">IF(B389=0,0,K389/B389)</f>
        <v>0.555472341954023</v>
      </c>
      <c r="N389" s="7" t="n">
        <f aca="false">K389/가정!$B$8</f>
        <v>309287</v>
      </c>
      <c r="O389" s="7" t="n">
        <f aca="false">IF(I389&gt;0,A389,"")</f>
        <v>384</v>
      </c>
      <c r="P389" s="7" t="n">
        <f aca="false">IF(L389&gt;=0,A389,"")</f>
        <v>384</v>
      </c>
      <c r="Q389" s="7" t="n">
        <f aca="false">IF(K389&gt;=가정!$B$32,A389,"")</f>
        <v>384</v>
      </c>
      <c r="R389" s="7" t="str">
        <f aca="false">IF(MAX(0,I389)*(1-가정!$B$6)*'1억 상환'!$B$6&gt;='1억 상환'!$B$5,A389,"")</f>
        <v/>
      </c>
    </row>
    <row r="390" customFormat="false" ht="15" hidden="false" customHeight="false" outlineLevel="0" collapsed="false">
      <c r="A390" s="7" t="n">
        <v>385</v>
      </c>
      <c r="B390" s="7" t="n">
        <f aca="false">A390*가정!$B$10</f>
        <v>111650000</v>
      </c>
      <c r="C390" s="7" t="n">
        <f aca="false">가정!$B$34</f>
        <v>3590000</v>
      </c>
      <c r="D390" s="7" t="n">
        <f aca="false">ROUNDUP(MAX(0,A390-가정!$B$18)/가정!$B$19,0)</f>
        <v>7</v>
      </c>
      <c r="E390" s="7" t="n">
        <f aca="false">D390*가정!$B$20+ROUNDUP(A390/가정!$B$22,0)*가정!$B$21+ROUNDUP(A390/가정!$B$24,0)*가정!$B$23</f>
        <v>39100000</v>
      </c>
      <c r="F390" s="7" t="n">
        <f aca="false">A390*가정!$B$26+B390*가정!$B$27</f>
        <v>385000</v>
      </c>
      <c r="G390" s="7" t="n">
        <f aca="false">B390*가정!$B$28</f>
        <v>0</v>
      </c>
      <c r="H390" s="7" t="n">
        <f aca="false">B390-C390-E390-F390-G390</f>
        <v>68575000</v>
      </c>
      <c r="I390" s="7" t="n">
        <f aca="false">H390-IF(가정!$B$7=1,가정!$B$5,0)</f>
        <v>64575000</v>
      </c>
      <c r="J390" s="7" t="n">
        <f aca="false">MAX(0,I390)*가정!$B$6</f>
        <v>58117500</v>
      </c>
      <c r="K390" s="7" t="n">
        <f aca="false">가정!$B$5+J390</f>
        <v>62117500</v>
      </c>
      <c r="L390" s="7" t="n">
        <f aca="false">H390-K390</f>
        <v>6457500</v>
      </c>
      <c r="M390" s="8" t="n">
        <f aca="false">IF(B390=0,0,K390/B390)</f>
        <v>0.556359158083296</v>
      </c>
      <c r="N390" s="7" t="n">
        <f aca="false">K390/가정!$B$8</f>
        <v>310587.5</v>
      </c>
      <c r="O390" s="7" t="n">
        <f aca="false">IF(I390&gt;0,A390,"")</f>
        <v>385</v>
      </c>
      <c r="P390" s="7" t="n">
        <f aca="false">IF(L390&gt;=0,A390,"")</f>
        <v>385</v>
      </c>
      <c r="Q390" s="7" t="n">
        <f aca="false">IF(K390&gt;=가정!$B$32,A390,"")</f>
        <v>385</v>
      </c>
      <c r="R390" s="7" t="str">
        <f aca="false">IF(MAX(0,I390)*(1-가정!$B$6)*'1억 상환'!$B$6&gt;='1억 상환'!$B$5,A390,"")</f>
        <v/>
      </c>
    </row>
    <row r="391" customFormat="false" ht="15" hidden="false" customHeight="false" outlineLevel="0" collapsed="false">
      <c r="A391" s="7" t="n">
        <v>386</v>
      </c>
      <c r="B391" s="7" t="n">
        <f aca="false">A391*가정!$B$10</f>
        <v>111940000</v>
      </c>
      <c r="C391" s="7" t="n">
        <f aca="false">가정!$B$34</f>
        <v>3590000</v>
      </c>
      <c r="D391" s="7" t="n">
        <f aca="false">ROUNDUP(MAX(0,A391-가정!$B$18)/가정!$B$19,0)</f>
        <v>7</v>
      </c>
      <c r="E391" s="7" t="n">
        <f aca="false">D391*가정!$B$20+ROUNDUP(A391/가정!$B$22,0)*가정!$B$21+ROUNDUP(A391/가정!$B$24,0)*가정!$B$23</f>
        <v>39100000</v>
      </c>
      <c r="F391" s="7" t="n">
        <f aca="false">A391*가정!$B$26+B391*가정!$B$27</f>
        <v>386000</v>
      </c>
      <c r="G391" s="7" t="n">
        <f aca="false">B391*가정!$B$28</f>
        <v>0</v>
      </c>
      <c r="H391" s="7" t="n">
        <f aca="false">B391-C391-E391-F391-G391</f>
        <v>68864000</v>
      </c>
      <c r="I391" s="7" t="n">
        <f aca="false">H391-IF(가정!$B$7=1,가정!$B$5,0)</f>
        <v>64864000</v>
      </c>
      <c r="J391" s="7" t="n">
        <f aca="false">MAX(0,I391)*가정!$B$6</f>
        <v>58377600</v>
      </c>
      <c r="K391" s="7" t="n">
        <f aca="false">가정!$B$5+J391</f>
        <v>62377600</v>
      </c>
      <c r="L391" s="7" t="n">
        <f aca="false">H391-K391</f>
        <v>6486400</v>
      </c>
      <c r="M391" s="8" t="n">
        <f aca="false">IF(B391=0,0,K391/B391)</f>
        <v>0.557241379310345</v>
      </c>
      <c r="N391" s="7" t="n">
        <f aca="false">K391/가정!$B$8</f>
        <v>311888</v>
      </c>
      <c r="O391" s="7" t="n">
        <f aca="false">IF(I391&gt;0,A391,"")</f>
        <v>386</v>
      </c>
      <c r="P391" s="7" t="n">
        <f aca="false">IF(L391&gt;=0,A391,"")</f>
        <v>386</v>
      </c>
      <c r="Q391" s="7" t="n">
        <f aca="false">IF(K391&gt;=가정!$B$32,A391,"")</f>
        <v>386</v>
      </c>
      <c r="R391" s="7" t="str">
        <f aca="false">IF(MAX(0,I391)*(1-가정!$B$6)*'1억 상환'!$B$6&gt;='1억 상환'!$B$5,A391,"")</f>
        <v/>
      </c>
    </row>
    <row r="392" customFormat="false" ht="15" hidden="false" customHeight="false" outlineLevel="0" collapsed="false">
      <c r="A392" s="7" t="n">
        <v>387</v>
      </c>
      <c r="B392" s="7" t="n">
        <f aca="false">A392*가정!$B$10</f>
        <v>112230000</v>
      </c>
      <c r="C392" s="7" t="n">
        <f aca="false">가정!$B$34</f>
        <v>3590000</v>
      </c>
      <c r="D392" s="7" t="n">
        <f aca="false">ROUNDUP(MAX(0,A392-가정!$B$18)/가정!$B$19,0)</f>
        <v>7</v>
      </c>
      <c r="E392" s="7" t="n">
        <f aca="false">D392*가정!$B$20+ROUNDUP(A392/가정!$B$22,0)*가정!$B$21+ROUNDUP(A392/가정!$B$24,0)*가정!$B$23</f>
        <v>39100000</v>
      </c>
      <c r="F392" s="7" t="n">
        <f aca="false">A392*가정!$B$26+B392*가정!$B$27</f>
        <v>387000</v>
      </c>
      <c r="G392" s="7" t="n">
        <f aca="false">B392*가정!$B$28</f>
        <v>0</v>
      </c>
      <c r="H392" s="7" t="n">
        <f aca="false">B392-C392-E392-F392-G392</f>
        <v>69153000</v>
      </c>
      <c r="I392" s="7" t="n">
        <f aca="false">H392-IF(가정!$B$7=1,가정!$B$5,0)</f>
        <v>65153000</v>
      </c>
      <c r="J392" s="7" t="n">
        <f aca="false">MAX(0,I392)*가정!$B$6</f>
        <v>58637700</v>
      </c>
      <c r="K392" s="7" t="n">
        <f aca="false">가정!$B$5+J392</f>
        <v>62637700</v>
      </c>
      <c r="L392" s="7" t="n">
        <f aca="false">H392-K392</f>
        <v>6515300</v>
      </c>
      <c r="M392" s="8" t="n">
        <f aca="false">IF(B392=0,0,K392/B392)</f>
        <v>0.558119041254567</v>
      </c>
      <c r="N392" s="7" t="n">
        <f aca="false">K392/가정!$B$8</f>
        <v>313188.5</v>
      </c>
      <c r="O392" s="7" t="n">
        <f aca="false">IF(I392&gt;0,A392,"")</f>
        <v>387</v>
      </c>
      <c r="P392" s="7" t="n">
        <f aca="false">IF(L392&gt;=0,A392,"")</f>
        <v>387</v>
      </c>
      <c r="Q392" s="7" t="n">
        <f aca="false">IF(K392&gt;=가정!$B$32,A392,"")</f>
        <v>387</v>
      </c>
      <c r="R392" s="7" t="str">
        <f aca="false">IF(MAX(0,I392)*(1-가정!$B$6)*'1억 상환'!$B$6&gt;='1억 상환'!$B$5,A392,"")</f>
        <v/>
      </c>
    </row>
    <row r="393" customFormat="false" ht="15" hidden="false" customHeight="false" outlineLevel="0" collapsed="false">
      <c r="A393" s="7" t="n">
        <v>388</v>
      </c>
      <c r="B393" s="7" t="n">
        <f aca="false">A393*가정!$B$10</f>
        <v>112520000</v>
      </c>
      <c r="C393" s="7" t="n">
        <f aca="false">가정!$B$34</f>
        <v>3590000</v>
      </c>
      <c r="D393" s="7" t="n">
        <f aca="false">ROUNDUP(MAX(0,A393-가정!$B$18)/가정!$B$19,0)</f>
        <v>7</v>
      </c>
      <c r="E393" s="7" t="n">
        <f aca="false">D393*가정!$B$20+ROUNDUP(A393/가정!$B$22,0)*가정!$B$21+ROUNDUP(A393/가정!$B$24,0)*가정!$B$23</f>
        <v>39100000</v>
      </c>
      <c r="F393" s="7" t="n">
        <f aca="false">A393*가정!$B$26+B393*가정!$B$27</f>
        <v>388000</v>
      </c>
      <c r="G393" s="7" t="n">
        <f aca="false">B393*가정!$B$28</f>
        <v>0</v>
      </c>
      <c r="H393" s="7" t="n">
        <f aca="false">B393-C393-E393-F393-G393</f>
        <v>69442000</v>
      </c>
      <c r="I393" s="7" t="n">
        <f aca="false">H393-IF(가정!$B$7=1,가정!$B$5,0)</f>
        <v>65442000</v>
      </c>
      <c r="J393" s="7" t="n">
        <f aca="false">MAX(0,I393)*가정!$B$6</f>
        <v>58897800</v>
      </c>
      <c r="K393" s="7" t="n">
        <f aca="false">가정!$B$5+J393</f>
        <v>62897800</v>
      </c>
      <c r="L393" s="7" t="n">
        <f aca="false">H393-K393</f>
        <v>6544200</v>
      </c>
      <c r="M393" s="8" t="n">
        <f aca="false">IF(B393=0,0,K393/B393)</f>
        <v>0.558992179168148</v>
      </c>
      <c r="N393" s="7" t="n">
        <f aca="false">K393/가정!$B$8</f>
        <v>314489</v>
      </c>
      <c r="O393" s="7" t="n">
        <f aca="false">IF(I393&gt;0,A393,"")</f>
        <v>388</v>
      </c>
      <c r="P393" s="7" t="n">
        <f aca="false">IF(L393&gt;=0,A393,"")</f>
        <v>388</v>
      </c>
      <c r="Q393" s="7" t="n">
        <f aca="false">IF(K393&gt;=가정!$B$32,A393,"")</f>
        <v>388</v>
      </c>
      <c r="R393" s="7" t="str">
        <f aca="false">IF(MAX(0,I393)*(1-가정!$B$6)*'1억 상환'!$B$6&gt;='1억 상환'!$B$5,A393,"")</f>
        <v/>
      </c>
    </row>
    <row r="394" customFormat="false" ht="15" hidden="false" customHeight="false" outlineLevel="0" collapsed="false">
      <c r="A394" s="7" t="n">
        <v>389</v>
      </c>
      <c r="B394" s="7" t="n">
        <f aca="false">A394*가정!$B$10</f>
        <v>112810000</v>
      </c>
      <c r="C394" s="7" t="n">
        <f aca="false">가정!$B$34</f>
        <v>3590000</v>
      </c>
      <c r="D394" s="7" t="n">
        <f aca="false">ROUNDUP(MAX(0,A394-가정!$B$18)/가정!$B$19,0)</f>
        <v>7</v>
      </c>
      <c r="E394" s="7" t="n">
        <f aca="false">D394*가정!$B$20+ROUNDUP(A394/가정!$B$22,0)*가정!$B$21+ROUNDUP(A394/가정!$B$24,0)*가정!$B$23</f>
        <v>39100000</v>
      </c>
      <c r="F394" s="7" t="n">
        <f aca="false">A394*가정!$B$26+B394*가정!$B$27</f>
        <v>389000</v>
      </c>
      <c r="G394" s="7" t="n">
        <f aca="false">B394*가정!$B$28</f>
        <v>0</v>
      </c>
      <c r="H394" s="7" t="n">
        <f aca="false">B394-C394-E394-F394-G394</f>
        <v>69731000</v>
      </c>
      <c r="I394" s="7" t="n">
        <f aca="false">H394-IF(가정!$B$7=1,가정!$B$5,0)</f>
        <v>65731000</v>
      </c>
      <c r="J394" s="7" t="n">
        <f aca="false">MAX(0,I394)*가정!$B$6</f>
        <v>59157900</v>
      </c>
      <c r="K394" s="7" t="n">
        <f aca="false">가정!$B$5+J394</f>
        <v>63157900</v>
      </c>
      <c r="L394" s="7" t="n">
        <f aca="false">H394-K394</f>
        <v>6573100</v>
      </c>
      <c r="M394" s="8" t="n">
        <f aca="false">IF(B394=0,0,K394/B394)</f>
        <v>0.559860827940785</v>
      </c>
      <c r="N394" s="7" t="n">
        <f aca="false">K394/가정!$B$8</f>
        <v>315789.5</v>
      </c>
      <c r="O394" s="7" t="n">
        <f aca="false">IF(I394&gt;0,A394,"")</f>
        <v>389</v>
      </c>
      <c r="P394" s="7" t="n">
        <f aca="false">IF(L394&gt;=0,A394,"")</f>
        <v>389</v>
      </c>
      <c r="Q394" s="7" t="n">
        <f aca="false">IF(K394&gt;=가정!$B$32,A394,"")</f>
        <v>389</v>
      </c>
      <c r="R394" s="7" t="str">
        <f aca="false">IF(MAX(0,I394)*(1-가정!$B$6)*'1억 상환'!$B$6&gt;='1억 상환'!$B$5,A394,"")</f>
        <v/>
      </c>
    </row>
    <row r="395" customFormat="false" ht="15" hidden="false" customHeight="false" outlineLevel="0" collapsed="false">
      <c r="A395" s="7" t="n">
        <v>390</v>
      </c>
      <c r="B395" s="7" t="n">
        <f aca="false">A395*가정!$B$10</f>
        <v>113100000</v>
      </c>
      <c r="C395" s="7" t="n">
        <f aca="false">가정!$B$34</f>
        <v>3590000</v>
      </c>
      <c r="D395" s="7" t="n">
        <f aca="false">ROUNDUP(MAX(0,A395-가정!$B$18)/가정!$B$19,0)</f>
        <v>7</v>
      </c>
      <c r="E395" s="7" t="n">
        <f aca="false">D395*가정!$B$20+ROUNDUP(A395/가정!$B$22,0)*가정!$B$21+ROUNDUP(A395/가정!$B$24,0)*가정!$B$23</f>
        <v>39100000</v>
      </c>
      <c r="F395" s="7" t="n">
        <f aca="false">A395*가정!$B$26+B395*가정!$B$27</f>
        <v>390000</v>
      </c>
      <c r="G395" s="7" t="n">
        <f aca="false">B395*가정!$B$28</f>
        <v>0</v>
      </c>
      <c r="H395" s="7" t="n">
        <f aca="false">B395-C395-E395-F395-G395</f>
        <v>70020000</v>
      </c>
      <c r="I395" s="7" t="n">
        <f aca="false">H395-IF(가정!$B$7=1,가정!$B$5,0)</f>
        <v>66020000</v>
      </c>
      <c r="J395" s="7" t="n">
        <f aca="false">MAX(0,I395)*가정!$B$6</f>
        <v>59418000</v>
      </c>
      <c r="K395" s="7" t="n">
        <f aca="false">가정!$B$5+J395</f>
        <v>63418000</v>
      </c>
      <c r="L395" s="7" t="n">
        <f aca="false">H395-K395</f>
        <v>6602000</v>
      </c>
      <c r="M395" s="8" t="n">
        <f aca="false">IF(B395=0,0,K395/B395)</f>
        <v>0.560725022104333</v>
      </c>
      <c r="N395" s="7" t="n">
        <f aca="false">K395/가정!$B$8</f>
        <v>317090</v>
      </c>
      <c r="O395" s="7" t="n">
        <f aca="false">IF(I395&gt;0,A395,"")</f>
        <v>390</v>
      </c>
      <c r="P395" s="7" t="n">
        <f aca="false">IF(L395&gt;=0,A395,"")</f>
        <v>390</v>
      </c>
      <c r="Q395" s="7" t="n">
        <f aca="false">IF(K395&gt;=가정!$B$32,A395,"")</f>
        <v>390</v>
      </c>
      <c r="R395" s="7" t="str">
        <f aca="false">IF(MAX(0,I395)*(1-가정!$B$6)*'1억 상환'!$B$6&gt;='1억 상환'!$B$5,A395,"")</f>
        <v/>
      </c>
    </row>
    <row r="396" customFormat="false" ht="15" hidden="false" customHeight="false" outlineLevel="0" collapsed="false">
      <c r="A396" s="7" t="n">
        <v>391</v>
      </c>
      <c r="B396" s="7" t="n">
        <f aca="false">A396*가정!$B$10</f>
        <v>113390000</v>
      </c>
      <c r="C396" s="7" t="n">
        <f aca="false">가정!$B$34</f>
        <v>3590000</v>
      </c>
      <c r="D396" s="7" t="n">
        <f aca="false">ROUNDUP(MAX(0,A396-가정!$B$18)/가정!$B$19,0)</f>
        <v>7</v>
      </c>
      <c r="E396" s="7" t="n">
        <f aca="false">D396*가정!$B$20+ROUNDUP(A396/가정!$B$22,0)*가정!$B$21+ROUNDUP(A396/가정!$B$24,0)*가정!$B$23</f>
        <v>39100000</v>
      </c>
      <c r="F396" s="7" t="n">
        <f aca="false">A396*가정!$B$26+B396*가정!$B$27</f>
        <v>391000</v>
      </c>
      <c r="G396" s="7" t="n">
        <f aca="false">B396*가정!$B$28</f>
        <v>0</v>
      </c>
      <c r="H396" s="7" t="n">
        <f aca="false">B396-C396-E396-F396-G396</f>
        <v>70309000</v>
      </c>
      <c r="I396" s="7" t="n">
        <f aca="false">H396-IF(가정!$B$7=1,가정!$B$5,0)</f>
        <v>66309000</v>
      </c>
      <c r="J396" s="7" t="n">
        <f aca="false">MAX(0,I396)*가정!$B$6</f>
        <v>59678100</v>
      </c>
      <c r="K396" s="7" t="n">
        <f aca="false">가정!$B$5+J396</f>
        <v>63678100</v>
      </c>
      <c r="L396" s="7" t="n">
        <f aca="false">H396-K396</f>
        <v>6630900</v>
      </c>
      <c r="M396" s="8" t="n">
        <f aca="false">IF(B396=0,0,K396/B396)</f>
        <v>0.561584795837375</v>
      </c>
      <c r="N396" s="7" t="n">
        <f aca="false">K396/가정!$B$8</f>
        <v>318390.5</v>
      </c>
      <c r="O396" s="7" t="n">
        <f aca="false">IF(I396&gt;0,A396,"")</f>
        <v>391</v>
      </c>
      <c r="P396" s="7" t="n">
        <f aca="false">IF(L396&gt;=0,A396,"")</f>
        <v>391</v>
      </c>
      <c r="Q396" s="7" t="n">
        <f aca="false">IF(K396&gt;=가정!$B$32,A396,"")</f>
        <v>391</v>
      </c>
      <c r="R396" s="7" t="str">
        <f aca="false">IF(MAX(0,I396)*(1-가정!$B$6)*'1억 상환'!$B$6&gt;='1억 상환'!$B$5,A396,"")</f>
        <v/>
      </c>
    </row>
    <row r="397" customFormat="false" ht="15" hidden="false" customHeight="false" outlineLevel="0" collapsed="false">
      <c r="A397" s="7" t="n">
        <v>392</v>
      </c>
      <c r="B397" s="7" t="n">
        <f aca="false">A397*가정!$B$10</f>
        <v>113680000</v>
      </c>
      <c r="C397" s="7" t="n">
        <f aca="false">가정!$B$34</f>
        <v>3590000</v>
      </c>
      <c r="D397" s="7" t="n">
        <f aca="false">ROUNDUP(MAX(0,A397-가정!$B$18)/가정!$B$19,0)</f>
        <v>7</v>
      </c>
      <c r="E397" s="7" t="n">
        <f aca="false">D397*가정!$B$20+ROUNDUP(A397/가정!$B$22,0)*가정!$B$21+ROUNDUP(A397/가정!$B$24,0)*가정!$B$23</f>
        <v>39100000</v>
      </c>
      <c r="F397" s="7" t="n">
        <f aca="false">A397*가정!$B$26+B397*가정!$B$27</f>
        <v>392000</v>
      </c>
      <c r="G397" s="7" t="n">
        <f aca="false">B397*가정!$B$28</f>
        <v>0</v>
      </c>
      <c r="H397" s="7" t="n">
        <f aca="false">B397-C397-E397-F397-G397</f>
        <v>70598000</v>
      </c>
      <c r="I397" s="7" t="n">
        <f aca="false">H397-IF(가정!$B$7=1,가정!$B$5,0)</f>
        <v>66598000</v>
      </c>
      <c r="J397" s="7" t="n">
        <f aca="false">MAX(0,I397)*가정!$B$6</f>
        <v>59938200</v>
      </c>
      <c r="K397" s="7" t="n">
        <f aca="false">가정!$B$5+J397</f>
        <v>63938200</v>
      </c>
      <c r="L397" s="7" t="n">
        <f aca="false">H397-K397</f>
        <v>6659800</v>
      </c>
      <c r="M397" s="8" t="n">
        <f aca="false">IF(B397=0,0,K397/B397)</f>
        <v>0.56244018296974</v>
      </c>
      <c r="N397" s="7" t="n">
        <f aca="false">K397/가정!$B$8</f>
        <v>319691</v>
      </c>
      <c r="O397" s="7" t="n">
        <f aca="false">IF(I397&gt;0,A397,"")</f>
        <v>392</v>
      </c>
      <c r="P397" s="7" t="n">
        <f aca="false">IF(L397&gt;=0,A397,"")</f>
        <v>392</v>
      </c>
      <c r="Q397" s="7" t="n">
        <f aca="false">IF(K397&gt;=가정!$B$32,A397,"")</f>
        <v>392</v>
      </c>
      <c r="R397" s="7" t="str">
        <f aca="false">IF(MAX(0,I397)*(1-가정!$B$6)*'1억 상환'!$B$6&gt;='1억 상환'!$B$5,A397,"")</f>
        <v/>
      </c>
    </row>
    <row r="398" customFormat="false" ht="15" hidden="false" customHeight="false" outlineLevel="0" collapsed="false">
      <c r="A398" s="7" t="n">
        <v>393</v>
      </c>
      <c r="B398" s="7" t="n">
        <f aca="false">A398*가정!$B$10</f>
        <v>113970000</v>
      </c>
      <c r="C398" s="7" t="n">
        <f aca="false">가정!$B$34</f>
        <v>3590000</v>
      </c>
      <c r="D398" s="7" t="n">
        <f aca="false">ROUNDUP(MAX(0,A398-가정!$B$18)/가정!$B$19,0)</f>
        <v>7</v>
      </c>
      <c r="E398" s="7" t="n">
        <f aca="false">D398*가정!$B$20+ROUNDUP(A398/가정!$B$22,0)*가정!$B$21+ROUNDUP(A398/가정!$B$24,0)*가정!$B$23</f>
        <v>39100000</v>
      </c>
      <c r="F398" s="7" t="n">
        <f aca="false">A398*가정!$B$26+B398*가정!$B$27</f>
        <v>393000</v>
      </c>
      <c r="G398" s="7" t="n">
        <f aca="false">B398*가정!$B$28</f>
        <v>0</v>
      </c>
      <c r="H398" s="7" t="n">
        <f aca="false">B398-C398-E398-F398-G398</f>
        <v>70887000</v>
      </c>
      <c r="I398" s="7" t="n">
        <f aca="false">H398-IF(가정!$B$7=1,가정!$B$5,0)</f>
        <v>66887000</v>
      </c>
      <c r="J398" s="7" t="n">
        <f aca="false">MAX(0,I398)*가정!$B$6</f>
        <v>60198300</v>
      </c>
      <c r="K398" s="7" t="n">
        <f aca="false">가정!$B$5+J398</f>
        <v>64198300</v>
      </c>
      <c r="L398" s="7" t="n">
        <f aca="false">H398-K398</f>
        <v>6688700</v>
      </c>
      <c r="M398" s="8" t="n">
        <f aca="false">IF(B398=0,0,K398/B398)</f>
        <v>0.563291216986926</v>
      </c>
      <c r="N398" s="7" t="n">
        <f aca="false">K398/가정!$B$8</f>
        <v>320991.5</v>
      </c>
      <c r="O398" s="7" t="n">
        <f aca="false">IF(I398&gt;0,A398,"")</f>
        <v>393</v>
      </c>
      <c r="P398" s="7" t="n">
        <f aca="false">IF(L398&gt;=0,A398,"")</f>
        <v>393</v>
      </c>
      <c r="Q398" s="7" t="n">
        <f aca="false">IF(K398&gt;=가정!$B$32,A398,"")</f>
        <v>393</v>
      </c>
      <c r="R398" s="7" t="str">
        <f aca="false">IF(MAX(0,I398)*(1-가정!$B$6)*'1억 상환'!$B$6&gt;='1억 상환'!$B$5,A398,"")</f>
        <v/>
      </c>
    </row>
    <row r="399" customFormat="false" ht="15" hidden="false" customHeight="false" outlineLevel="0" collapsed="false">
      <c r="A399" s="7" t="n">
        <v>394</v>
      </c>
      <c r="B399" s="7" t="n">
        <f aca="false">A399*가정!$B$10</f>
        <v>114260000</v>
      </c>
      <c r="C399" s="7" t="n">
        <f aca="false">가정!$B$34</f>
        <v>3590000</v>
      </c>
      <c r="D399" s="7" t="n">
        <f aca="false">ROUNDUP(MAX(0,A399-가정!$B$18)/가정!$B$19,0)</f>
        <v>7</v>
      </c>
      <c r="E399" s="7" t="n">
        <f aca="false">D399*가정!$B$20+ROUNDUP(A399/가정!$B$22,0)*가정!$B$21+ROUNDUP(A399/가정!$B$24,0)*가정!$B$23</f>
        <v>39100000</v>
      </c>
      <c r="F399" s="7" t="n">
        <f aca="false">A399*가정!$B$26+B399*가정!$B$27</f>
        <v>394000</v>
      </c>
      <c r="G399" s="7" t="n">
        <f aca="false">B399*가정!$B$28</f>
        <v>0</v>
      </c>
      <c r="H399" s="7" t="n">
        <f aca="false">B399-C399-E399-F399-G399</f>
        <v>71176000</v>
      </c>
      <c r="I399" s="7" t="n">
        <f aca="false">H399-IF(가정!$B$7=1,가정!$B$5,0)</f>
        <v>67176000</v>
      </c>
      <c r="J399" s="7" t="n">
        <f aca="false">MAX(0,I399)*가정!$B$6</f>
        <v>60458400</v>
      </c>
      <c r="K399" s="7" t="n">
        <f aca="false">가정!$B$5+J399</f>
        <v>64458400</v>
      </c>
      <c r="L399" s="7" t="n">
        <f aca="false">H399-K399</f>
        <v>6717600</v>
      </c>
      <c r="M399" s="8" t="n">
        <f aca="false">IF(B399=0,0,K399/B399)</f>
        <v>0.564137931034483</v>
      </c>
      <c r="N399" s="7" t="n">
        <f aca="false">K399/가정!$B$8</f>
        <v>322292</v>
      </c>
      <c r="O399" s="7" t="n">
        <f aca="false">IF(I399&gt;0,A399,"")</f>
        <v>394</v>
      </c>
      <c r="P399" s="7" t="n">
        <f aca="false">IF(L399&gt;=0,A399,"")</f>
        <v>394</v>
      </c>
      <c r="Q399" s="7" t="n">
        <f aca="false">IF(K399&gt;=가정!$B$32,A399,"")</f>
        <v>394</v>
      </c>
      <c r="R399" s="7" t="str">
        <f aca="false">IF(MAX(0,I399)*(1-가정!$B$6)*'1억 상환'!$B$6&gt;='1억 상환'!$B$5,A399,"")</f>
        <v/>
      </c>
    </row>
    <row r="400" customFormat="false" ht="15" hidden="false" customHeight="false" outlineLevel="0" collapsed="false">
      <c r="A400" s="7" t="n">
        <v>395</v>
      </c>
      <c r="B400" s="7" t="n">
        <f aca="false">A400*가정!$B$10</f>
        <v>114550000</v>
      </c>
      <c r="C400" s="7" t="n">
        <f aca="false">가정!$B$34</f>
        <v>3590000</v>
      </c>
      <c r="D400" s="7" t="n">
        <f aca="false">ROUNDUP(MAX(0,A400-가정!$B$18)/가정!$B$19,0)</f>
        <v>7</v>
      </c>
      <c r="E400" s="7" t="n">
        <f aca="false">D400*가정!$B$20+ROUNDUP(A400/가정!$B$22,0)*가정!$B$21+ROUNDUP(A400/가정!$B$24,0)*가정!$B$23</f>
        <v>39100000</v>
      </c>
      <c r="F400" s="7" t="n">
        <f aca="false">A400*가정!$B$26+B400*가정!$B$27</f>
        <v>395000</v>
      </c>
      <c r="G400" s="7" t="n">
        <f aca="false">B400*가정!$B$28</f>
        <v>0</v>
      </c>
      <c r="H400" s="7" t="n">
        <f aca="false">B400-C400-E400-F400-G400</f>
        <v>71465000</v>
      </c>
      <c r="I400" s="7" t="n">
        <f aca="false">H400-IF(가정!$B$7=1,가정!$B$5,0)</f>
        <v>67465000</v>
      </c>
      <c r="J400" s="7" t="n">
        <f aca="false">MAX(0,I400)*가정!$B$6</f>
        <v>60718500</v>
      </c>
      <c r="K400" s="7" t="n">
        <f aca="false">가정!$B$5+J400</f>
        <v>64718500</v>
      </c>
      <c r="L400" s="7" t="n">
        <f aca="false">H400-K400</f>
        <v>6746500</v>
      </c>
      <c r="M400" s="8" t="n">
        <f aca="false">IF(B400=0,0,K400/B400)</f>
        <v>0.564980357922305</v>
      </c>
      <c r="N400" s="7" t="n">
        <f aca="false">K400/가정!$B$8</f>
        <v>323592.5</v>
      </c>
      <c r="O400" s="7" t="n">
        <f aca="false">IF(I400&gt;0,A400,"")</f>
        <v>395</v>
      </c>
      <c r="P400" s="7" t="n">
        <f aca="false">IF(L400&gt;=0,A400,"")</f>
        <v>395</v>
      </c>
      <c r="Q400" s="7" t="n">
        <f aca="false">IF(K400&gt;=가정!$B$32,A400,"")</f>
        <v>395</v>
      </c>
      <c r="R400" s="7" t="str">
        <f aca="false">IF(MAX(0,I400)*(1-가정!$B$6)*'1억 상환'!$B$6&gt;='1억 상환'!$B$5,A400,"")</f>
        <v/>
      </c>
    </row>
    <row r="401" customFormat="false" ht="15" hidden="false" customHeight="false" outlineLevel="0" collapsed="false">
      <c r="A401" s="7" t="n">
        <v>396</v>
      </c>
      <c r="B401" s="7" t="n">
        <f aca="false">A401*가정!$B$10</f>
        <v>114840000</v>
      </c>
      <c r="C401" s="7" t="n">
        <f aca="false">가정!$B$34</f>
        <v>3590000</v>
      </c>
      <c r="D401" s="7" t="n">
        <f aca="false">ROUNDUP(MAX(0,A401-가정!$B$18)/가정!$B$19,0)</f>
        <v>7</v>
      </c>
      <c r="E401" s="7" t="n">
        <f aca="false">D401*가정!$B$20+ROUNDUP(A401/가정!$B$22,0)*가정!$B$21+ROUNDUP(A401/가정!$B$24,0)*가정!$B$23</f>
        <v>39100000</v>
      </c>
      <c r="F401" s="7" t="n">
        <f aca="false">A401*가정!$B$26+B401*가정!$B$27</f>
        <v>396000</v>
      </c>
      <c r="G401" s="7" t="n">
        <f aca="false">B401*가정!$B$28</f>
        <v>0</v>
      </c>
      <c r="H401" s="7" t="n">
        <f aca="false">B401-C401-E401-F401-G401</f>
        <v>71754000</v>
      </c>
      <c r="I401" s="7" t="n">
        <f aca="false">H401-IF(가정!$B$7=1,가정!$B$5,0)</f>
        <v>67754000</v>
      </c>
      <c r="J401" s="7" t="n">
        <f aca="false">MAX(0,I401)*가정!$B$6</f>
        <v>60978600</v>
      </c>
      <c r="K401" s="7" t="n">
        <f aca="false">가정!$B$5+J401</f>
        <v>64978600</v>
      </c>
      <c r="L401" s="7" t="n">
        <f aca="false">H401-K401</f>
        <v>6775400</v>
      </c>
      <c r="M401" s="8" t="n">
        <f aca="false">IF(B401=0,0,K401/B401)</f>
        <v>0.565818530128875</v>
      </c>
      <c r="N401" s="7" t="n">
        <f aca="false">K401/가정!$B$8</f>
        <v>324893</v>
      </c>
      <c r="O401" s="7" t="n">
        <f aca="false">IF(I401&gt;0,A401,"")</f>
        <v>396</v>
      </c>
      <c r="P401" s="7" t="n">
        <f aca="false">IF(L401&gt;=0,A401,"")</f>
        <v>396</v>
      </c>
      <c r="Q401" s="7" t="n">
        <f aca="false">IF(K401&gt;=가정!$B$32,A401,"")</f>
        <v>396</v>
      </c>
      <c r="R401" s="7" t="str">
        <f aca="false">IF(MAX(0,I401)*(1-가정!$B$6)*'1억 상환'!$B$6&gt;='1억 상환'!$B$5,A401,"")</f>
        <v/>
      </c>
    </row>
    <row r="402" customFormat="false" ht="15" hidden="false" customHeight="false" outlineLevel="0" collapsed="false">
      <c r="A402" s="7" t="n">
        <v>397</v>
      </c>
      <c r="B402" s="7" t="n">
        <f aca="false">A402*가정!$B$10</f>
        <v>115130000</v>
      </c>
      <c r="C402" s="7" t="n">
        <f aca="false">가정!$B$34</f>
        <v>3590000</v>
      </c>
      <c r="D402" s="7" t="n">
        <f aca="false">ROUNDUP(MAX(0,A402-가정!$B$18)/가정!$B$19,0)</f>
        <v>7</v>
      </c>
      <c r="E402" s="7" t="n">
        <f aca="false">D402*가정!$B$20+ROUNDUP(A402/가정!$B$22,0)*가정!$B$21+ROUNDUP(A402/가정!$B$24,0)*가정!$B$23</f>
        <v>39100000</v>
      </c>
      <c r="F402" s="7" t="n">
        <f aca="false">A402*가정!$B$26+B402*가정!$B$27</f>
        <v>397000</v>
      </c>
      <c r="G402" s="7" t="n">
        <f aca="false">B402*가정!$B$28</f>
        <v>0</v>
      </c>
      <c r="H402" s="7" t="n">
        <f aca="false">B402-C402-E402-F402-G402</f>
        <v>72043000</v>
      </c>
      <c r="I402" s="7" t="n">
        <f aca="false">H402-IF(가정!$B$7=1,가정!$B$5,0)</f>
        <v>68043000</v>
      </c>
      <c r="J402" s="7" t="n">
        <f aca="false">MAX(0,I402)*가정!$B$6</f>
        <v>61238700</v>
      </c>
      <c r="K402" s="7" t="n">
        <f aca="false">가정!$B$5+J402</f>
        <v>65238700</v>
      </c>
      <c r="L402" s="7" t="n">
        <f aca="false">H402-K402</f>
        <v>6804300</v>
      </c>
      <c r="M402" s="8" t="n">
        <f aca="false">IF(B402=0,0,K402/B402)</f>
        <v>0.566652479805437</v>
      </c>
      <c r="N402" s="7" t="n">
        <f aca="false">K402/가정!$B$8</f>
        <v>326193.5</v>
      </c>
      <c r="O402" s="7" t="n">
        <f aca="false">IF(I402&gt;0,A402,"")</f>
        <v>397</v>
      </c>
      <c r="P402" s="7" t="n">
        <f aca="false">IF(L402&gt;=0,A402,"")</f>
        <v>397</v>
      </c>
      <c r="Q402" s="7" t="n">
        <f aca="false">IF(K402&gt;=가정!$B$32,A402,"")</f>
        <v>397</v>
      </c>
      <c r="R402" s="7" t="str">
        <f aca="false">IF(MAX(0,I402)*(1-가정!$B$6)*'1억 상환'!$B$6&gt;='1억 상환'!$B$5,A402,"")</f>
        <v/>
      </c>
    </row>
    <row r="403" customFormat="false" ht="15" hidden="false" customHeight="false" outlineLevel="0" collapsed="false">
      <c r="A403" s="7" t="n">
        <v>398</v>
      </c>
      <c r="B403" s="7" t="n">
        <f aca="false">A403*가정!$B$10</f>
        <v>115420000</v>
      </c>
      <c r="C403" s="7" t="n">
        <f aca="false">가정!$B$34</f>
        <v>3590000</v>
      </c>
      <c r="D403" s="7" t="n">
        <f aca="false">ROUNDUP(MAX(0,A403-가정!$B$18)/가정!$B$19,0)</f>
        <v>7</v>
      </c>
      <c r="E403" s="7" t="n">
        <f aca="false">D403*가정!$B$20+ROUNDUP(A403/가정!$B$22,0)*가정!$B$21+ROUNDUP(A403/가정!$B$24,0)*가정!$B$23</f>
        <v>39100000</v>
      </c>
      <c r="F403" s="7" t="n">
        <f aca="false">A403*가정!$B$26+B403*가정!$B$27</f>
        <v>398000</v>
      </c>
      <c r="G403" s="7" t="n">
        <f aca="false">B403*가정!$B$28</f>
        <v>0</v>
      </c>
      <c r="H403" s="7" t="n">
        <f aca="false">B403-C403-E403-F403-G403</f>
        <v>72332000</v>
      </c>
      <c r="I403" s="7" t="n">
        <f aca="false">H403-IF(가정!$B$7=1,가정!$B$5,0)</f>
        <v>68332000</v>
      </c>
      <c r="J403" s="7" t="n">
        <f aca="false">MAX(0,I403)*가정!$B$6</f>
        <v>61498800</v>
      </c>
      <c r="K403" s="7" t="n">
        <f aca="false">가정!$B$5+J403</f>
        <v>65498800</v>
      </c>
      <c r="L403" s="7" t="n">
        <f aca="false">H403-K403</f>
        <v>6833200</v>
      </c>
      <c r="M403" s="8" t="n">
        <f aca="false">IF(B403=0,0,K403/B403)</f>
        <v>0.567482238780107</v>
      </c>
      <c r="N403" s="7" t="n">
        <f aca="false">K403/가정!$B$8</f>
        <v>327494</v>
      </c>
      <c r="O403" s="7" t="n">
        <f aca="false">IF(I403&gt;0,A403,"")</f>
        <v>398</v>
      </c>
      <c r="P403" s="7" t="n">
        <f aca="false">IF(L403&gt;=0,A403,"")</f>
        <v>398</v>
      </c>
      <c r="Q403" s="7" t="n">
        <f aca="false">IF(K403&gt;=가정!$B$32,A403,"")</f>
        <v>398</v>
      </c>
      <c r="R403" s="7" t="str">
        <f aca="false">IF(MAX(0,I403)*(1-가정!$B$6)*'1억 상환'!$B$6&gt;='1억 상환'!$B$5,A403,"")</f>
        <v/>
      </c>
    </row>
    <row r="404" customFormat="false" ht="15" hidden="false" customHeight="false" outlineLevel="0" collapsed="false">
      <c r="A404" s="7" t="n">
        <v>399</v>
      </c>
      <c r="B404" s="7" t="n">
        <f aca="false">A404*가정!$B$10</f>
        <v>115710000</v>
      </c>
      <c r="C404" s="7" t="n">
        <f aca="false">가정!$B$34</f>
        <v>3590000</v>
      </c>
      <c r="D404" s="7" t="n">
        <f aca="false">ROUNDUP(MAX(0,A404-가정!$B$18)/가정!$B$19,0)</f>
        <v>7</v>
      </c>
      <c r="E404" s="7" t="n">
        <f aca="false">D404*가정!$B$20+ROUNDUP(A404/가정!$B$22,0)*가정!$B$21+ROUNDUP(A404/가정!$B$24,0)*가정!$B$23</f>
        <v>39100000</v>
      </c>
      <c r="F404" s="7" t="n">
        <f aca="false">A404*가정!$B$26+B404*가정!$B$27</f>
        <v>399000</v>
      </c>
      <c r="G404" s="7" t="n">
        <f aca="false">B404*가정!$B$28</f>
        <v>0</v>
      </c>
      <c r="H404" s="7" t="n">
        <f aca="false">B404-C404-E404-F404-G404</f>
        <v>72621000</v>
      </c>
      <c r="I404" s="7" t="n">
        <f aca="false">H404-IF(가정!$B$7=1,가정!$B$5,0)</f>
        <v>68621000</v>
      </c>
      <c r="J404" s="7" t="n">
        <f aca="false">MAX(0,I404)*가정!$B$6</f>
        <v>61758900</v>
      </c>
      <c r="K404" s="7" t="n">
        <f aca="false">가정!$B$5+J404</f>
        <v>65758900</v>
      </c>
      <c r="L404" s="7" t="n">
        <f aca="false">H404-K404</f>
        <v>6862100</v>
      </c>
      <c r="M404" s="8" t="n">
        <f aca="false">IF(B404=0,0,K404/B404)</f>
        <v>0.568307838561922</v>
      </c>
      <c r="N404" s="7" t="n">
        <f aca="false">K404/가정!$B$8</f>
        <v>328794.5</v>
      </c>
      <c r="O404" s="7" t="n">
        <f aca="false">IF(I404&gt;0,A404,"")</f>
        <v>399</v>
      </c>
      <c r="P404" s="7" t="n">
        <f aca="false">IF(L404&gt;=0,A404,"")</f>
        <v>399</v>
      </c>
      <c r="Q404" s="7" t="n">
        <f aca="false">IF(K404&gt;=가정!$B$32,A404,"")</f>
        <v>399</v>
      </c>
      <c r="R404" s="7" t="str">
        <f aca="false">IF(MAX(0,I404)*(1-가정!$B$6)*'1억 상환'!$B$6&gt;='1억 상환'!$B$5,A404,"")</f>
        <v/>
      </c>
    </row>
    <row r="405" customFormat="false" ht="15" hidden="false" customHeight="false" outlineLevel="0" collapsed="false">
      <c r="A405" s="7" t="n">
        <v>400</v>
      </c>
      <c r="B405" s="7" t="n">
        <f aca="false">A405*가정!$B$10</f>
        <v>116000000</v>
      </c>
      <c r="C405" s="7" t="n">
        <f aca="false">가정!$B$34</f>
        <v>3590000</v>
      </c>
      <c r="D405" s="7" t="n">
        <f aca="false">ROUNDUP(MAX(0,A405-가정!$B$18)/가정!$B$19,0)</f>
        <v>7</v>
      </c>
      <c r="E405" s="7" t="n">
        <f aca="false">D405*가정!$B$20+ROUNDUP(A405/가정!$B$22,0)*가정!$B$21+ROUNDUP(A405/가정!$B$24,0)*가정!$B$23</f>
        <v>39100000</v>
      </c>
      <c r="F405" s="7" t="n">
        <f aca="false">A405*가정!$B$26+B405*가정!$B$27</f>
        <v>400000</v>
      </c>
      <c r="G405" s="7" t="n">
        <f aca="false">B405*가정!$B$28</f>
        <v>0</v>
      </c>
      <c r="H405" s="7" t="n">
        <f aca="false">B405-C405-E405-F405-G405</f>
        <v>72910000</v>
      </c>
      <c r="I405" s="7" t="n">
        <f aca="false">H405-IF(가정!$B$7=1,가정!$B$5,0)</f>
        <v>68910000</v>
      </c>
      <c r="J405" s="7" t="n">
        <f aca="false">MAX(0,I405)*가정!$B$6</f>
        <v>62019000</v>
      </c>
      <c r="K405" s="7" t="n">
        <f aca="false">가정!$B$5+J405</f>
        <v>66019000</v>
      </c>
      <c r="L405" s="7" t="n">
        <f aca="false">H405-K405</f>
        <v>6891000</v>
      </c>
      <c r="M405" s="8" t="n">
        <f aca="false">IF(B405=0,0,K405/B405)</f>
        <v>0.569129310344828</v>
      </c>
      <c r="N405" s="7" t="n">
        <f aca="false">K405/가정!$B$8</f>
        <v>330095</v>
      </c>
      <c r="O405" s="7" t="n">
        <f aca="false">IF(I405&gt;0,A405,"")</f>
        <v>400</v>
      </c>
      <c r="P405" s="7" t="n">
        <f aca="false">IF(L405&gt;=0,A405,"")</f>
        <v>400</v>
      </c>
      <c r="Q405" s="7" t="n">
        <f aca="false">IF(K405&gt;=가정!$B$32,A405,"")</f>
        <v>400</v>
      </c>
      <c r="R405" s="7" t="str">
        <f aca="false">IF(MAX(0,I405)*(1-가정!$B$6)*'1억 상환'!$B$6&gt;='1억 상환'!$B$5,A405,"")</f>
        <v/>
      </c>
    </row>
    <row r="406" customFormat="false" ht="15" hidden="false" customHeight="false" outlineLevel="0" collapsed="false">
      <c r="A406" s="7" t="n">
        <v>401</v>
      </c>
      <c r="B406" s="7" t="n">
        <f aca="false">A406*가정!$B$10</f>
        <v>116290000</v>
      </c>
      <c r="C406" s="7" t="n">
        <f aca="false">가정!$B$34</f>
        <v>3590000</v>
      </c>
      <c r="D406" s="7" t="n">
        <f aca="false">ROUNDUP(MAX(0,A406-가정!$B$18)/가정!$B$19,0)</f>
        <v>7</v>
      </c>
      <c r="E406" s="7" t="n">
        <f aca="false">D406*가정!$B$20+ROUNDUP(A406/가정!$B$22,0)*가정!$B$21+ROUNDUP(A406/가정!$B$24,0)*가정!$B$23</f>
        <v>42500000</v>
      </c>
      <c r="F406" s="7" t="n">
        <f aca="false">A406*가정!$B$26+B406*가정!$B$27</f>
        <v>401000</v>
      </c>
      <c r="G406" s="7" t="n">
        <f aca="false">B406*가정!$B$28</f>
        <v>0</v>
      </c>
      <c r="H406" s="7" t="n">
        <f aca="false">B406-C406-E406-F406-G406</f>
        <v>69799000</v>
      </c>
      <c r="I406" s="7" t="n">
        <f aca="false">H406-IF(가정!$B$7=1,가정!$B$5,0)</f>
        <v>65799000</v>
      </c>
      <c r="J406" s="7" t="n">
        <f aca="false">MAX(0,I406)*가정!$B$6</f>
        <v>59219100</v>
      </c>
      <c r="K406" s="7" t="n">
        <f aca="false">가정!$B$5+J406</f>
        <v>63219100</v>
      </c>
      <c r="L406" s="7" t="n">
        <f aca="false">H406-K406</f>
        <v>6579900</v>
      </c>
      <c r="M406" s="8" t="n">
        <f aca="false">IF(B406=0,0,K406/B406)</f>
        <v>0.543633158483103</v>
      </c>
      <c r="N406" s="7" t="n">
        <f aca="false">K406/가정!$B$8</f>
        <v>316095.5</v>
      </c>
      <c r="O406" s="7" t="n">
        <f aca="false">IF(I406&gt;0,A406,"")</f>
        <v>401</v>
      </c>
      <c r="P406" s="7" t="n">
        <f aca="false">IF(L406&gt;=0,A406,"")</f>
        <v>401</v>
      </c>
      <c r="Q406" s="7" t="n">
        <f aca="false">IF(K406&gt;=가정!$B$32,A406,"")</f>
        <v>401</v>
      </c>
      <c r="R406" s="7" t="str">
        <f aca="false">IF(MAX(0,I406)*(1-가정!$B$6)*'1억 상환'!$B$6&gt;='1억 상환'!$B$5,A406,"")</f>
        <v/>
      </c>
    </row>
    <row r="407" customFormat="false" ht="15" hidden="false" customHeight="false" outlineLevel="0" collapsed="false">
      <c r="A407" s="7" t="n">
        <v>402</v>
      </c>
      <c r="B407" s="7" t="n">
        <f aca="false">A407*가정!$B$10</f>
        <v>116580000</v>
      </c>
      <c r="C407" s="7" t="n">
        <f aca="false">가정!$B$34</f>
        <v>3590000</v>
      </c>
      <c r="D407" s="7" t="n">
        <f aca="false">ROUNDUP(MAX(0,A407-가정!$B$18)/가정!$B$19,0)</f>
        <v>7</v>
      </c>
      <c r="E407" s="7" t="n">
        <f aca="false">D407*가정!$B$20+ROUNDUP(A407/가정!$B$22,0)*가정!$B$21+ROUNDUP(A407/가정!$B$24,0)*가정!$B$23</f>
        <v>42500000</v>
      </c>
      <c r="F407" s="7" t="n">
        <f aca="false">A407*가정!$B$26+B407*가정!$B$27</f>
        <v>402000</v>
      </c>
      <c r="G407" s="7" t="n">
        <f aca="false">B407*가정!$B$28</f>
        <v>0</v>
      </c>
      <c r="H407" s="7" t="n">
        <f aca="false">B407-C407-E407-F407-G407</f>
        <v>70088000</v>
      </c>
      <c r="I407" s="7" t="n">
        <f aca="false">H407-IF(가정!$B$7=1,가정!$B$5,0)</f>
        <v>66088000</v>
      </c>
      <c r="J407" s="7" t="n">
        <f aca="false">MAX(0,I407)*가정!$B$6</f>
        <v>59479200</v>
      </c>
      <c r="K407" s="7" t="n">
        <f aca="false">가정!$B$5+J407</f>
        <v>63479200</v>
      </c>
      <c r="L407" s="7" t="n">
        <f aca="false">H407-K407</f>
        <v>6608800</v>
      </c>
      <c r="M407" s="8" t="n">
        <f aca="false">IF(B407=0,0,K407/B407)</f>
        <v>0.544511923142906</v>
      </c>
      <c r="N407" s="7" t="n">
        <f aca="false">K407/가정!$B$8</f>
        <v>317396</v>
      </c>
      <c r="O407" s="7" t="n">
        <f aca="false">IF(I407&gt;0,A407,"")</f>
        <v>402</v>
      </c>
      <c r="P407" s="7" t="n">
        <f aca="false">IF(L407&gt;=0,A407,"")</f>
        <v>402</v>
      </c>
      <c r="Q407" s="7" t="n">
        <f aca="false">IF(K407&gt;=가정!$B$32,A407,"")</f>
        <v>402</v>
      </c>
      <c r="R407" s="7" t="str">
        <f aca="false">IF(MAX(0,I407)*(1-가정!$B$6)*'1억 상환'!$B$6&gt;='1억 상환'!$B$5,A407,"")</f>
        <v/>
      </c>
    </row>
    <row r="408" customFormat="false" ht="15" hidden="false" customHeight="false" outlineLevel="0" collapsed="false">
      <c r="A408" s="7" t="n">
        <v>403</v>
      </c>
      <c r="B408" s="7" t="n">
        <f aca="false">A408*가정!$B$10</f>
        <v>116870000</v>
      </c>
      <c r="C408" s="7" t="n">
        <f aca="false">가정!$B$34</f>
        <v>3590000</v>
      </c>
      <c r="D408" s="7" t="n">
        <f aca="false">ROUNDUP(MAX(0,A408-가정!$B$18)/가정!$B$19,0)</f>
        <v>7</v>
      </c>
      <c r="E408" s="7" t="n">
        <f aca="false">D408*가정!$B$20+ROUNDUP(A408/가정!$B$22,0)*가정!$B$21+ROUNDUP(A408/가정!$B$24,0)*가정!$B$23</f>
        <v>42500000</v>
      </c>
      <c r="F408" s="7" t="n">
        <f aca="false">A408*가정!$B$26+B408*가정!$B$27</f>
        <v>403000</v>
      </c>
      <c r="G408" s="7" t="n">
        <f aca="false">B408*가정!$B$28</f>
        <v>0</v>
      </c>
      <c r="H408" s="7" t="n">
        <f aca="false">B408-C408-E408-F408-G408</f>
        <v>70377000</v>
      </c>
      <c r="I408" s="7" t="n">
        <f aca="false">H408-IF(가정!$B$7=1,가정!$B$5,0)</f>
        <v>66377000</v>
      </c>
      <c r="J408" s="7" t="n">
        <f aca="false">MAX(0,I408)*가정!$B$6</f>
        <v>59739300</v>
      </c>
      <c r="K408" s="7" t="n">
        <f aca="false">가정!$B$5+J408</f>
        <v>63739300</v>
      </c>
      <c r="L408" s="7" t="n">
        <f aca="false">H408-K408</f>
        <v>6637700</v>
      </c>
      <c r="M408" s="8" t="n">
        <f aca="false">IF(B408=0,0,K408/B408)</f>
        <v>0.545386326687773</v>
      </c>
      <c r="N408" s="7" t="n">
        <f aca="false">K408/가정!$B$8</f>
        <v>318696.5</v>
      </c>
      <c r="O408" s="7" t="n">
        <f aca="false">IF(I408&gt;0,A408,"")</f>
        <v>403</v>
      </c>
      <c r="P408" s="7" t="n">
        <f aca="false">IF(L408&gt;=0,A408,"")</f>
        <v>403</v>
      </c>
      <c r="Q408" s="7" t="n">
        <f aca="false">IF(K408&gt;=가정!$B$32,A408,"")</f>
        <v>403</v>
      </c>
      <c r="R408" s="7" t="str">
        <f aca="false">IF(MAX(0,I408)*(1-가정!$B$6)*'1억 상환'!$B$6&gt;='1억 상환'!$B$5,A408,"")</f>
        <v/>
      </c>
    </row>
    <row r="409" customFormat="false" ht="15" hidden="false" customHeight="false" outlineLevel="0" collapsed="false">
      <c r="A409" s="7" t="n">
        <v>404</v>
      </c>
      <c r="B409" s="7" t="n">
        <f aca="false">A409*가정!$B$10</f>
        <v>117160000</v>
      </c>
      <c r="C409" s="7" t="n">
        <f aca="false">가정!$B$34</f>
        <v>3590000</v>
      </c>
      <c r="D409" s="7" t="n">
        <f aca="false">ROUNDUP(MAX(0,A409-가정!$B$18)/가정!$B$19,0)</f>
        <v>7</v>
      </c>
      <c r="E409" s="7" t="n">
        <f aca="false">D409*가정!$B$20+ROUNDUP(A409/가정!$B$22,0)*가정!$B$21+ROUNDUP(A409/가정!$B$24,0)*가정!$B$23</f>
        <v>42500000</v>
      </c>
      <c r="F409" s="7" t="n">
        <f aca="false">A409*가정!$B$26+B409*가정!$B$27</f>
        <v>404000</v>
      </c>
      <c r="G409" s="7" t="n">
        <f aca="false">B409*가정!$B$28</f>
        <v>0</v>
      </c>
      <c r="H409" s="7" t="n">
        <f aca="false">B409-C409-E409-F409-G409</f>
        <v>70666000</v>
      </c>
      <c r="I409" s="7" t="n">
        <f aca="false">H409-IF(가정!$B$7=1,가정!$B$5,0)</f>
        <v>66666000</v>
      </c>
      <c r="J409" s="7" t="n">
        <f aca="false">MAX(0,I409)*가정!$B$6</f>
        <v>59999400</v>
      </c>
      <c r="K409" s="7" t="n">
        <f aca="false">가정!$B$5+J409</f>
        <v>63999400</v>
      </c>
      <c r="L409" s="7" t="n">
        <f aca="false">H409-K409</f>
        <v>6666600</v>
      </c>
      <c r="M409" s="8" t="n">
        <f aca="false">IF(B409=0,0,K409/B409)</f>
        <v>0.546256401502219</v>
      </c>
      <c r="N409" s="7" t="n">
        <f aca="false">K409/가정!$B$8</f>
        <v>319997</v>
      </c>
      <c r="O409" s="7" t="n">
        <f aca="false">IF(I409&gt;0,A409,"")</f>
        <v>404</v>
      </c>
      <c r="P409" s="7" t="n">
        <f aca="false">IF(L409&gt;=0,A409,"")</f>
        <v>404</v>
      </c>
      <c r="Q409" s="7" t="n">
        <f aca="false">IF(K409&gt;=가정!$B$32,A409,"")</f>
        <v>404</v>
      </c>
      <c r="R409" s="7" t="str">
        <f aca="false">IF(MAX(0,I409)*(1-가정!$B$6)*'1억 상환'!$B$6&gt;='1억 상환'!$B$5,A409,"")</f>
        <v/>
      </c>
    </row>
    <row r="410" customFormat="false" ht="15" hidden="false" customHeight="false" outlineLevel="0" collapsed="false">
      <c r="A410" s="7" t="n">
        <v>405</v>
      </c>
      <c r="B410" s="7" t="n">
        <f aca="false">A410*가정!$B$10</f>
        <v>117450000</v>
      </c>
      <c r="C410" s="7" t="n">
        <f aca="false">가정!$B$34</f>
        <v>3590000</v>
      </c>
      <c r="D410" s="7" t="n">
        <f aca="false">ROUNDUP(MAX(0,A410-가정!$B$18)/가정!$B$19,0)</f>
        <v>7</v>
      </c>
      <c r="E410" s="7" t="n">
        <f aca="false">D410*가정!$B$20+ROUNDUP(A410/가정!$B$22,0)*가정!$B$21+ROUNDUP(A410/가정!$B$24,0)*가정!$B$23</f>
        <v>42500000</v>
      </c>
      <c r="F410" s="7" t="n">
        <f aca="false">A410*가정!$B$26+B410*가정!$B$27</f>
        <v>405000</v>
      </c>
      <c r="G410" s="7" t="n">
        <f aca="false">B410*가정!$B$28</f>
        <v>0</v>
      </c>
      <c r="H410" s="7" t="n">
        <f aca="false">B410-C410-E410-F410-G410</f>
        <v>70955000</v>
      </c>
      <c r="I410" s="7" t="n">
        <f aca="false">H410-IF(가정!$B$7=1,가정!$B$5,0)</f>
        <v>66955000</v>
      </c>
      <c r="J410" s="7" t="n">
        <f aca="false">MAX(0,I410)*가정!$B$6</f>
        <v>60259500</v>
      </c>
      <c r="K410" s="7" t="n">
        <f aca="false">가정!$B$5+J410</f>
        <v>64259500</v>
      </c>
      <c r="L410" s="7" t="n">
        <f aca="false">H410-K410</f>
        <v>6695500</v>
      </c>
      <c r="M410" s="8" t="n">
        <f aca="false">IF(B410=0,0,K410/B410)</f>
        <v>0.547122179650915</v>
      </c>
      <c r="N410" s="7" t="n">
        <f aca="false">K410/가정!$B$8</f>
        <v>321297.5</v>
      </c>
      <c r="O410" s="7" t="n">
        <f aca="false">IF(I410&gt;0,A410,"")</f>
        <v>405</v>
      </c>
      <c r="P410" s="7" t="n">
        <f aca="false">IF(L410&gt;=0,A410,"")</f>
        <v>405</v>
      </c>
      <c r="Q410" s="7" t="n">
        <f aca="false">IF(K410&gt;=가정!$B$32,A410,"")</f>
        <v>405</v>
      </c>
      <c r="R410" s="7" t="str">
        <f aca="false">IF(MAX(0,I410)*(1-가정!$B$6)*'1억 상환'!$B$6&gt;='1억 상환'!$B$5,A410,"")</f>
        <v/>
      </c>
    </row>
    <row r="411" customFormat="false" ht="15" hidden="false" customHeight="false" outlineLevel="0" collapsed="false">
      <c r="A411" s="7" t="n">
        <v>406</v>
      </c>
      <c r="B411" s="7" t="n">
        <f aca="false">A411*가정!$B$10</f>
        <v>117740000</v>
      </c>
      <c r="C411" s="7" t="n">
        <f aca="false">가정!$B$34</f>
        <v>3590000</v>
      </c>
      <c r="D411" s="7" t="n">
        <f aca="false">ROUNDUP(MAX(0,A411-가정!$B$18)/가정!$B$19,0)</f>
        <v>7</v>
      </c>
      <c r="E411" s="7" t="n">
        <f aca="false">D411*가정!$B$20+ROUNDUP(A411/가정!$B$22,0)*가정!$B$21+ROUNDUP(A411/가정!$B$24,0)*가정!$B$23</f>
        <v>42500000</v>
      </c>
      <c r="F411" s="7" t="n">
        <f aca="false">A411*가정!$B$26+B411*가정!$B$27</f>
        <v>406000</v>
      </c>
      <c r="G411" s="7" t="n">
        <f aca="false">B411*가정!$B$28</f>
        <v>0</v>
      </c>
      <c r="H411" s="7" t="n">
        <f aca="false">B411-C411-E411-F411-G411</f>
        <v>71244000</v>
      </c>
      <c r="I411" s="7" t="n">
        <f aca="false">H411-IF(가정!$B$7=1,가정!$B$5,0)</f>
        <v>67244000</v>
      </c>
      <c r="J411" s="7" t="n">
        <f aca="false">MAX(0,I411)*가정!$B$6</f>
        <v>60519600</v>
      </c>
      <c r="K411" s="7" t="n">
        <f aca="false">가정!$B$5+J411</f>
        <v>64519600</v>
      </c>
      <c r="L411" s="7" t="n">
        <f aca="false">H411-K411</f>
        <v>6724400</v>
      </c>
      <c r="M411" s="8" t="n">
        <f aca="false">IF(B411=0,0,K411/B411)</f>
        <v>0.547983692882623</v>
      </c>
      <c r="N411" s="7" t="n">
        <f aca="false">K411/가정!$B$8</f>
        <v>322598</v>
      </c>
      <c r="O411" s="7" t="n">
        <f aca="false">IF(I411&gt;0,A411,"")</f>
        <v>406</v>
      </c>
      <c r="P411" s="7" t="n">
        <f aca="false">IF(L411&gt;=0,A411,"")</f>
        <v>406</v>
      </c>
      <c r="Q411" s="7" t="n">
        <f aca="false">IF(K411&gt;=가정!$B$32,A411,"")</f>
        <v>406</v>
      </c>
      <c r="R411" s="7" t="str">
        <f aca="false">IF(MAX(0,I411)*(1-가정!$B$6)*'1억 상환'!$B$6&gt;='1억 상환'!$B$5,A411,"")</f>
        <v/>
      </c>
    </row>
    <row r="412" customFormat="false" ht="15" hidden="false" customHeight="false" outlineLevel="0" collapsed="false">
      <c r="A412" s="7" t="n">
        <v>407</v>
      </c>
      <c r="B412" s="7" t="n">
        <f aca="false">A412*가정!$B$10</f>
        <v>118030000</v>
      </c>
      <c r="C412" s="7" t="n">
        <f aca="false">가정!$B$34</f>
        <v>3590000</v>
      </c>
      <c r="D412" s="7" t="n">
        <f aca="false">ROUNDUP(MAX(0,A412-가정!$B$18)/가정!$B$19,0)</f>
        <v>7</v>
      </c>
      <c r="E412" s="7" t="n">
        <f aca="false">D412*가정!$B$20+ROUNDUP(A412/가정!$B$22,0)*가정!$B$21+ROUNDUP(A412/가정!$B$24,0)*가정!$B$23</f>
        <v>42500000</v>
      </c>
      <c r="F412" s="7" t="n">
        <f aca="false">A412*가정!$B$26+B412*가정!$B$27</f>
        <v>407000</v>
      </c>
      <c r="G412" s="7" t="n">
        <f aca="false">B412*가정!$B$28</f>
        <v>0</v>
      </c>
      <c r="H412" s="7" t="n">
        <f aca="false">B412-C412-E412-F412-G412</f>
        <v>71533000</v>
      </c>
      <c r="I412" s="7" t="n">
        <f aca="false">H412-IF(가정!$B$7=1,가정!$B$5,0)</f>
        <v>67533000</v>
      </c>
      <c r="J412" s="7" t="n">
        <f aca="false">MAX(0,I412)*가정!$B$6</f>
        <v>60779700</v>
      </c>
      <c r="K412" s="7" t="n">
        <f aca="false">가정!$B$5+J412</f>
        <v>64779700</v>
      </c>
      <c r="L412" s="7" t="n">
        <f aca="false">H412-K412</f>
        <v>6753300</v>
      </c>
      <c r="M412" s="8" t="n">
        <f aca="false">IF(B412=0,0,K412/B412)</f>
        <v>0.548840972634076</v>
      </c>
      <c r="N412" s="7" t="n">
        <f aca="false">K412/가정!$B$8</f>
        <v>323898.5</v>
      </c>
      <c r="O412" s="7" t="n">
        <f aca="false">IF(I412&gt;0,A412,"")</f>
        <v>407</v>
      </c>
      <c r="P412" s="7" t="n">
        <f aca="false">IF(L412&gt;=0,A412,"")</f>
        <v>407</v>
      </c>
      <c r="Q412" s="7" t="n">
        <f aca="false">IF(K412&gt;=가정!$B$32,A412,"")</f>
        <v>407</v>
      </c>
      <c r="R412" s="7" t="str">
        <f aca="false">IF(MAX(0,I412)*(1-가정!$B$6)*'1억 상환'!$B$6&gt;='1억 상환'!$B$5,A412,"")</f>
        <v/>
      </c>
    </row>
    <row r="413" customFormat="false" ht="15" hidden="false" customHeight="false" outlineLevel="0" collapsed="false">
      <c r="A413" s="7" t="n">
        <v>408</v>
      </c>
      <c r="B413" s="7" t="n">
        <f aca="false">A413*가정!$B$10</f>
        <v>118320000</v>
      </c>
      <c r="C413" s="7" t="n">
        <f aca="false">가정!$B$34</f>
        <v>3590000</v>
      </c>
      <c r="D413" s="7" t="n">
        <f aca="false">ROUNDUP(MAX(0,A413-가정!$B$18)/가정!$B$19,0)</f>
        <v>7</v>
      </c>
      <c r="E413" s="7" t="n">
        <f aca="false">D413*가정!$B$20+ROUNDUP(A413/가정!$B$22,0)*가정!$B$21+ROUNDUP(A413/가정!$B$24,0)*가정!$B$23</f>
        <v>42500000</v>
      </c>
      <c r="F413" s="7" t="n">
        <f aca="false">A413*가정!$B$26+B413*가정!$B$27</f>
        <v>408000</v>
      </c>
      <c r="G413" s="7" t="n">
        <f aca="false">B413*가정!$B$28</f>
        <v>0</v>
      </c>
      <c r="H413" s="7" t="n">
        <f aca="false">B413-C413-E413-F413-G413</f>
        <v>71822000</v>
      </c>
      <c r="I413" s="7" t="n">
        <f aca="false">H413-IF(가정!$B$7=1,가정!$B$5,0)</f>
        <v>67822000</v>
      </c>
      <c r="J413" s="7" t="n">
        <f aca="false">MAX(0,I413)*가정!$B$6</f>
        <v>61039800</v>
      </c>
      <c r="K413" s="7" t="n">
        <f aca="false">가정!$B$5+J413</f>
        <v>65039800</v>
      </c>
      <c r="L413" s="7" t="n">
        <f aca="false">H413-K413</f>
        <v>6782200</v>
      </c>
      <c r="M413" s="8" t="n">
        <f aca="false">IF(B413=0,0,K413/B413)</f>
        <v>0.549694050033807</v>
      </c>
      <c r="N413" s="7" t="n">
        <f aca="false">K413/가정!$B$8</f>
        <v>325199</v>
      </c>
      <c r="O413" s="7" t="n">
        <f aca="false">IF(I413&gt;0,A413,"")</f>
        <v>408</v>
      </c>
      <c r="P413" s="7" t="n">
        <f aca="false">IF(L413&gt;=0,A413,"")</f>
        <v>408</v>
      </c>
      <c r="Q413" s="7" t="n">
        <f aca="false">IF(K413&gt;=가정!$B$32,A413,"")</f>
        <v>408</v>
      </c>
      <c r="R413" s="7" t="str">
        <f aca="false">IF(MAX(0,I413)*(1-가정!$B$6)*'1억 상환'!$B$6&gt;='1억 상환'!$B$5,A413,"")</f>
        <v/>
      </c>
    </row>
    <row r="414" customFormat="false" ht="15" hidden="false" customHeight="false" outlineLevel="0" collapsed="false">
      <c r="A414" s="7" t="n">
        <v>409</v>
      </c>
      <c r="B414" s="7" t="n">
        <f aca="false">A414*가정!$B$10</f>
        <v>118610000</v>
      </c>
      <c r="C414" s="7" t="n">
        <f aca="false">가정!$B$34</f>
        <v>3590000</v>
      </c>
      <c r="D414" s="7" t="n">
        <f aca="false">ROUNDUP(MAX(0,A414-가정!$B$18)/가정!$B$19,0)</f>
        <v>7</v>
      </c>
      <c r="E414" s="7" t="n">
        <f aca="false">D414*가정!$B$20+ROUNDUP(A414/가정!$B$22,0)*가정!$B$21+ROUNDUP(A414/가정!$B$24,0)*가정!$B$23</f>
        <v>42500000</v>
      </c>
      <c r="F414" s="7" t="n">
        <f aca="false">A414*가정!$B$26+B414*가정!$B$27</f>
        <v>409000</v>
      </c>
      <c r="G414" s="7" t="n">
        <f aca="false">B414*가정!$B$28</f>
        <v>0</v>
      </c>
      <c r="H414" s="7" t="n">
        <f aca="false">B414-C414-E414-F414-G414</f>
        <v>72111000</v>
      </c>
      <c r="I414" s="7" t="n">
        <f aca="false">H414-IF(가정!$B$7=1,가정!$B$5,0)</f>
        <v>68111000</v>
      </c>
      <c r="J414" s="7" t="n">
        <f aca="false">MAX(0,I414)*가정!$B$6</f>
        <v>61299900</v>
      </c>
      <c r="K414" s="7" t="n">
        <f aca="false">가정!$B$5+J414</f>
        <v>65299900</v>
      </c>
      <c r="L414" s="7" t="n">
        <f aca="false">H414-K414</f>
        <v>6811100</v>
      </c>
      <c r="M414" s="8" t="n">
        <f aca="false">IF(B414=0,0,K414/B414)</f>
        <v>0.55054295590591</v>
      </c>
      <c r="N414" s="7" t="n">
        <f aca="false">K414/가정!$B$8</f>
        <v>326499.5</v>
      </c>
      <c r="O414" s="7" t="n">
        <f aca="false">IF(I414&gt;0,A414,"")</f>
        <v>409</v>
      </c>
      <c r="P414" s="7" t="n">
        <f aca="false">IF(L414&gt;=0,A414,"")</f>
        <v>409</v>
      </c>
      <c r="Q414" s="7" t="n">
        <f aca="false">IF(K414&gt;=가정!$B$32,A414,"")</f>
        <v>409</v>
      </c>
      <c r="R414" s="7" t="str">
        <f aca="false">IF(MAX(0,I414)*(1-가정!$B$6)*'1억 상환'!$B$6&gt;='1억 상환'!$B$5,A414,"")</f>
        <v/>
      </c>
    </row>
    <row r="415" customFormat="false" ht="15" hidden="false" customHeight="false" outlineLevel="0" collapsed="false">
      <c r="A415" s="7" t="n">
        <v>410</v>
      </c>
      <c r="B415" s="7" t="n">
        <f aca="false">A415*가정!$B$10</f>
        <v>118900000</v>
      </c>
      <c r="C415" s="7" t="n">
        <f aca="false">가정!$B$34</f>
        <v>3590000</v>
      </c>
      <c r="D415" s="7" t="n">
        <f aca="false">ROUNDUP(MAX(0,A415-가정!$B$18)/가정!$B$19,0)</f>
        <v>7</v>
      </c>
      <c r="E415" s="7" t="n">
        <f aca="false">D415*가정!$B$20+ROUNDUP(A415/가정!$B$22,0)*가정!$B$21+ROUNDUP(A415/가정!$B$24,0)*가정!$B$23</f>
        <v>42500000</v>
      </c>
      <c r="F415" s="7" t="n">
        <f aca="false">A415*가정!$B$26+B415*가정!$B$27</f>
        <v>410000</v>
      </c>
      <c r="G415" s="7" t="n">
        <f aca="false">B415*가정!$B$28</f>
        <v>0</v>
      </c>
      <c r="H415" s="7" t="n">
        <f aca="false">B415-C415-E415-F415-G415</f>
        <v>72400000</v>
      </c>
      <c r="I415" s="7" t="n">
        <f aca="false">H415-IF(가정!$B$7=1,가정!$B$5,0)</f>
        <v>68400000</v>
      </c>
      <c r="J415" s="7" t="n">
        <f aca="false">MAX(0,I415)*가정!$B$6</f>
        <v>61560000</v>
      </c>
      <c r="K415" s="7" t="n">
        <f aca="false">가정!$B$5+J415</f>
        <v>65560000</v>
      </c>
      <c r="L415" s="7" t="n">
        <f aca="false">H415-K415</f>
        <v>6840000</v>
      </c>
      <c r="M415" s="8" t="n">
        <f aca="false">IF(B415=0,0,K415/B415)</f>
        <v>0.551387720773759</v>
      </c>
      <c r="N415" s="7" t="n">
        <f aca="false">K415/가정!$B$8</f>
        <v>327800</v>
      </c>
      <c r="O415" s="7" t="n">
        <f aca="false">IF(I415&gt;0,A415,"")</f>
        <v>410</v>
      </c>
      <c r="P415" s="7" t="n">
        <f aca="false">IF(L415&gt;=0,A415,"")</f>
        <v>410</v>
      </c>
      <c r="Q415" s="7" t="n">
        <f aca="false">IF(K415&gt;=가정!$B$32,A415,"")</f>
        <v>410</v>
      </c>
      <c r="R415" s="7" t="str">
        <f aca="false">IF(MAX(0,I415)*(1-가정!$B$6)*'1억 상환'!$B$6&gt;='1억 상환'!$B$5,A415,"")</f>
        <v/>
      </c>
    </row>
    <row r="416" customFormat="false" ht="15" hidden="false" customHeight="false" outlineLevel="0" collapsed="false">
      <c r="A416" s="7" t="n">
        <v>411</v>
      </c>
      <c r="B416" s="7" t="n">
        <f aca="false">A416*가정!$B$10</f>
        <v>119190000</v>
      </c>
      <c r="C416" s="7" t="n">
        <f aca="false">가정!$B$34</f>
        <v>3590000</v>
      </c>
      <c r="D416" s="7" t="n">
        <f aca="false">ROUNDUP(MAX(0,A416-가정!$B$18)/가정!$B$19,0)</f>
        <v>7</v>
      </c>
      <c r="E416" s="7" t="n">
        <f aca="false">D416*가정!$B$20+ROUNDUP(A416/가정!$B$22,0)*가정!$B$21+ROUNDUP(A416/가정!$B$24,0)*가정!$B$23</f>
        <v>42500000</v>
      </c>
      <c r="F416" s="7" t="n">
        <f aca="false">A416*가정!$B$26+B416*가정!$B$27</f>
        <v>411000</v>
      </c>
      <c r="G416" s="7" t="n">
        <f aca="false">B416*가정!$B$28</f>
        <v>0</v>
      </c>
      <c r="H416" s="7" t="n">
        <f aca="false">B416-C416-E416-F416-G416</f>
        <v>72689000</v>
      </c>
      <c r="I416" s="7" t="n">
        <f aca="false">H416-IF(가정!$B$7=1,가정!$B$5,0)</f>
        <v>68689000</v>
      </c>
      <c r="J416" s="7" t="n">
        <f aca="false">MAX(0,I416)*가정!$B$6</f>
        <v>61820100</v>
      </c>
      <c r="K416" s="7" t="n">
        <f aca="false">가정!$B$5+J416</f>
        <v>65820100</v>
      </c>
      <c r="L416" s="7" t="n">
        <f aca="false">H416-K416</f>
        <v>6868900</v>
      </c>
      <c r="M416" s="8" t="n">
        <f aca="false">IF(B416=0,0,K416/B416)</f>
        <v>0.552228374863663</v>
      </c>
      <c r="N416" s="7" t="n">
        <f aca="false">K416/가정!$B$8</f>
        <v>329100.5</v>
      </c>
      <c r="O416" s="7" t="n">
        <f aca="false">IF(I416&gt;0,A416,"")</f>
        <v>411</v>
      </c>
      <c r="P416" s="7" t="n">
        <f aca="false">IF(L416&gt;=0,A416,"")</f>
        <v>411</v>
      </c>
      <c r="Q416" s="7" t="n">
        <f aca="false">IF(K416&gt;=가정!$B$32,A416,"")</f>
        <v>411</v>
      </c>
      <c r="R416" s="7" t="str">
        <f aca="false">IF(MAX(0,I416)*(1-가정!$B$6)*'1억 상환'!$B$6&gt;='1억 상환'!$B$5,A416,"")</f>
        <v/>
      </c>
    </row>
    <row r="417" customFormat="false" ht="15" hidden="false" customHeight="false" outlineLevel="0" collapsed="false">
      <c r="A417" s="7" t="n">
        <v>412</v>
      </c>
      <c r="B417" s="7" t="n">
        <f aca="false">A417*가정!$B$10</f>
        <v>119480000</v>
      </c>
      <c r="C417" s="7" t="n">
        <f aca="false">가정!$B$34</f>
        <v>3590000</v>
      </c>
      <c r="D417" s="7" t="n">
        <f aca="false">ROUNDUP(MAX(0,A417-가정!$B$18)/가정!$B$19,0)</f>
        <v>7</v>
      </c>
      <c r="E417" s="7" t="n">
        <f aca="false">D417*가정!$B$20+ROUNDUP(A417/가정!$B$22,0)*가정!$B$21+ROUNDUP(A417/가정!$B$24,0)*가정!$B$23</f>
        <v>42500000</v>
      </c>
      <c r="F417" s="7" t="n">
        <f aca="false">A417*가정!$B$26+B417*가정!$B$27</f>
        <v>412000</v>
      </c>
      <c r="G417" s="7" t="n">
        <f aca="false">B417*가정!$B$28</f>
        <v>0</v>
      </c>
      <c r="H417" s="7" t="n">
        <f aca="false">B417-C417-E417-F417-G417</f>
        <v>72978000</v>
      </c>
      <c r="I417" s="7" t="n">
        <f aca="false">H417-IF(가정!$B$7=1,가정!$B$5,0)</f>
        <v>68978000</v>
      </c>
      <c r="J417" s="7" t="n">
        <f aca="false">MAX(0,I417)*가정!$B$6</f>
        <v>62080200</v>
      </c>
      <c r="K417" s="7" t="n">
        <f aca="false">가정!$B$5+J417</f>
        <v>66080200</v>
      </c>
      <c r="L417" s="7" t="n">
        <f aca="false">H417-K417</f>
        <v>6897800</v>
      </c>
      <c r="M417" s="8" t="n">
        <f aca="false">IF(B417=0,0,K417/B417)</f>
        <v>0.55306494810847</v>
      </c>
      <c r="N417" s="7" t="n">
        <f aca="false">K417/가정!$B$8</f>
        <v>330401</v>
      </c>
      <c r="O417" s="7" t="n">
        <f aca="false">IF(I417&gt;0,A417,"")</f>
        <v>412</v>
      </c>
      <c r="P417" s="7" t="n">
        <f aca="false">IF(L417&gt;=0,A417,"")</f>
        <v>412</v>
      </c>
      <c r="Q417" s="7" t="n">
        <f aca="false">IF(K417&gt;=가정!$B$32,A417,"")</f>
        <v>412</v>
      </c>
      <c r="R417" s="7" t="str">
        <f aca="false">IF(MAX(0,I417)*(1-가정!$B$6)*'1억 상환'!$B$6&gt;='1억 상환'!$B$5,A417,"")</f>
        <v/>
      </c>
    </row>
    <row r="418" customFormat="false" ht="15" hidden="false" customHeight="false" outlineLevel="0" collapsed="false">
      <c r="A418" s="7" t="n">
        <v>413</v>
      </c>
      <c r="B418" s="7" t="n">
        <f aca="false">A418*가정!$B$10</f>
        <v>119770000</v>
      </c>
      <c r="C418" s="7" t="n">
        <f aca="false">가정!$B$34</f>
        <v>3590000</v>
      </c>
      <c r="D418" s="7" t="n">
        <f aca="false">ROUNDUP(MAX(0,A418-가정!$B$18)/가정!$B$19,0)</f>
        <v>7</v>
      </c>
      <c r="E418" s="7" t="n">
        <f aca="false">D418*가정!$B$20+ROUNDUP(A418/가정!$B$22,0)*가정!$B$21+ROUNDUP(A418/가정!$B$24,0)*가정!$B$23</f>
        <v>42500000</v>
      </c>
      <c r="F418" s="7" t="n">
        <f aca="false">A418*가정!$B$26+B418*가정!$B$27</f>
        <v>413000</v>
      </c>
      <c r="G418" s="7" t="n">
        <f aca="false">B418*가정!$B$28</f>
        <v>0</v>
      </c>
      <c r="H418" s="7" t="n">
        <f aca="false">B418-C418-E418-F418-G418</f>
        <v>73267000</v>
      </c>
      <c r="I418" s="7" t="n">
        <f aca="false">H418-IF(가정!$B$7=1,가정!$B$5,0)</f>
        <v>69267000</v>
      </c>
      <c r="J418" s="7" t="n">
        <f aca="false">MAX(0,I418)*가정!$B$6</f>
        <v>62340300</v>
      </c>
      <c r="K418" s="7" t="n">
        <f aca="false">가정!$B$5+J418</f>
        <v>66340300</v>
      </c>
      <c r="L418" s="7" t="n">
        <f aca="false">H418-K418</f>
        <v>6926700</v>
      </c>
      <c r="M418" s="8" t="n">
        <f aca="false">IF(B418=0,0,K418/B418)</f>
        <v>0.553897470151123</v>
      </c>
      <c r="N418" s="7" t="n">
        <f aca="false">K418/가정!$B$8</f>
        <v>331701.5</v>
      </c>
      <c r="O418" s="7" t="n">
        <f aca="false">IF(I418&gt;0,A418,"")</f>
        <v>413</v>
      </c>
      <c r="P418" s="7" t="n">
        <f aca="false">IF(L418&gt;=0,A418,"")</f>
        <v>413</v>
      </c>
      <c r="Q418" s="7" t="n">
        <f aca="false">IF(K418&gt;=가정!$B$32,A418,"")</f>
        <v>413</v>
      </c>
      <c r="R418" s="7" t="str">
        <f aca="false">IF(MAX(0,I418)*(1-가정!$B$6)*'1억 상환'!$B$6&gt;='1억 상환'!$B$5,A418,"")</f>
        <v/>
      </c>
    </row>
    <row r="419" customFormat="false" ht="15" hidden="false" customHeight="false" outlineLevel="0" collapsed="false">
      <c r="A419" s="7" t="n">
        <v>414</v>
      </c>
      <c r="B419" s="7" t="n">
        <f aca="false">A419*가정!$B$10</f>
        <v>120060000</v>
      </c>
      <c r="C419" s="7" t="n">
        <f aca="false">가정!$B$34</f>
        <v>3590000</v>
      </c>
      <c r="D419" s="7" t="n">
        <f aca="false">ROUNDUP(MAX(0,A419-가정!$B$18)/가정!$B$19,0)</f>
        <v>7</v>
      </c>
      <c r="E419" s="7" t="n">
        <f aca="false">D419*가정!$B$20+ROUNDUP(A419/가정!$B$22,0)*가정!$B$21+ROUNDUP(A419/가정!$B$24,0)*가정!$B$23</f>
        <v>42500000</v>
      </c>
      <c r="F419" s="7" t="n">
        <f aca="false">A419*가정!$B$26+B419*가정!$B$27</f>
        <v>414000</v>
      </c>
      <c r="G419" s="7" t="n">
        <f aca="false">B419*가정!$B$28</f>
        <v>0</v>
      </c>
      <c r="H419" s="7" t="n">
        <f aca="false">B419-C419-E419-F419-G419</f>
        <v>73556000</v>
      </c>
      <c r="I419" s="7" t="n">
        <f aca="false">H419-IF(가정!$B$7=1,가정!$B$5,0)</f>
        <v>69556000</v>
      </c>
      <c r="J419" s="7" t="n">
        <f aca="false">MAX(0,I419)*가정!$B$6</f>
        <v>62600400</v>
      </c>
      <c r="K419" s="7" t="n">
        <f aca="false">가정!$B$5+J419</f>
        <v>66600400</v>
      </c>
      <c r="L419" s="7" t="n">
        <f aca="false">H419-K419</f>
        <v>6955600</v>
      </c>
      <c r="M419" s="8" t="n">
        <f aca="false">IF(B419=0,0,K419/B419)</f>
        <v>0.554725970348159</v>
      </c>
      <c r="N419" s="7" t="n">
        <f aca="false">K419/가정!$B$8</f>
        <v>333002</v>
      </c>
      <c r="O419" s="7" t="n">
        <f aca="false">IF(I419&gt;0,A419,"")</f>
        <v>414</v>
      </c>
      <c r="P419" s="7" t="n">
        <f aca="false">IF(L419&gt;=0,A419,"")</f>
        <v>414</v>
      </c>
      <c r="Q419" s="7" t="n">
        <f aca="false">IF(K419&gt;=가정!$B$32,A419,"")</f>
        <v>414</v>
      </c>
      <c r="R419" s="7" t="str">
        <f aca="false">IF(MAX(0,I419)*(1-가정!$B$6)*'1억 상환'!$B$6&gt;='1억 상환'!$B$5,A419,"")</f>
        <v/>
      </c>
    </row>
    <row r="420" customFormat="false" ht="15" hidden="false" customHeight="false" outlineLevel="0" collapsed="false">
      <c r="A420" s="7" t="n">
        <v>415</v>
      </c>
      <c r="B420" s="7" t="n">
        <f aca="false">A420*가정!$B$10</f>
        <v>120350000</v>
      </c>
      <c r="C420" s="7" t="n">
        <f aca="false">가정!$B$34</f>
        <v>3590000</v>
      </c>
      <c r="D420" s="7" t="n">
        <f aca="false">ROUNDUP(MAX(0,A420-가정!$B$18)/가정!$B$19,0)</f>
        <v>7</v>
      </c>
      <c r="E420" s="7" t="n">
        <f aca="false">D420*가정!$B$20+ROUNDUP(A420/가정!$B$22,0)*가정!$B$21+ROUNDUP(A420/가정!$B$24,0)*가정!$B$23</f>
        <v>42500000</v>
      </c>
      <c r="F420" s="7" t="n">
        <f aca="false">A420*가정!$B$26+B420*가정!$B$27</f>
        <v>415000</v>
      </c>
      <c r="G420" s="7" t="n">
        <f aca="false">B420*가정!$B$28</f>
        <v>0</v>
      </c>
      <c r="H420" s="7" t="n">
        <f aca="false">B420-C420-E420-F420-G420</f>
        <v>73845000</v>
      </c>
      <c r="I420" s="7" t="n">
        <f aca="false">H420-IF(가정!$B$7=1,가정!$B$5,0)</f>
        <v>69845000</v>
      </c>
      <c r="J420" s="7" t="n">
        <f aca="false">MAX(0,I420)*가정!$B$6</f>
        <v>62860500</v>
      </c>
      <c r="K420" s="7" t="n">
        <f aca="false">가정!$B$5+J420</f>
        <v>66860500</v>
      </c>
      <c r="L420" s="7" t="n">
        <f aca="false">H420-K420</f>
        <v>6984500</v>
      </c>
      <c r="M420" s="8" t="n">
        <f aca="false">IF(B420=0,0,K420/B420)</f>
        <v>0.555550477773162</v>
      </c>
      <c r="N420" s="7" t="n">
        <f aca="false">K420/가정!$B$8</f>
        <v>334302.5</v>
      </c>
      <c r="O420" s="7" t="n">
        <f aca="false">IF(I420&gt;0,A420,"")</f>
        <v>415</v>
      </c>
      <c r="P420" s="7" t="n">
        <f aca="false">IF(L420&gt;=0,A420,"")</f>
        <v>415</v>
      </c>
      <c r="Q420" s="7" t="n">
        <f aca="false">IF(K420&gt;=가정!$B$32,A420,"")</f>
        <v>415</v>
      </c>
      <c r="R420" s="7" t="str">
        <f aca="false">IF(MAX(0,I420)*(1-가정!$B$6)*'1억 상환'!$B$6&gt;='1억 상환'!$B$5,A420,"")</f>
        <v/>
      </c>
    </row>
    <row r="421" customFormat="false" ht="15" hidden="false" customHeight="false" outlineLevel="0" collapsed="false">
      <c r="A421" s="7" t="n">
        <v>416</v>
      </c>
      <c r="B421" s="7" t="n">
        <f aca="false">A421*가정!$B$10</f>
        <v>120640000</v>
      </c>
      <c r="C421" s="7" t="n">
        <f aca="false">가정!$B$34</f>
        <v>3590000</v>
      </c>
      <c r="D421" s="7" t="n">
        <f aca="false">ROUNDUP(MAX(0,A421-가정!$B$18)/가정!$B$19,0)</f>
        <v>7</v>
      </c>
      <c r="E421" s="7" t="n">
        <f aca="false">D421*가정!$B$20+ROUNDUP(A421/가정!$B$22,0)*가정!$B$21+ROUNDUP(A421/가정!$B$24,0)*가정!$B$23</f>
        <v>42500000</v>
      </c>
      <c r="F421" s="7" t="n">
        <f aca="false">A421*가정!$B$26+B421*가정!$B$27</f>
        <v>416000</v>
      </c>
      <c r="G421" s="7" t="n">
        <f aca="false">B421*가정!$B$28</f>
        <v>0</v>
      </c>
      <c r="H421" s="7" t="n">
        <f aca="false">B421-C421-E421-F421-G421</f>
        <v>74134000</v>
      </c>
      <c r="I421" s="7" t="n">
        <f aca="false">H421-IF(가정!$B$7=1,가정!$B$5,0)</f>
        <v>70134000</v>
      </c>
      <c r="J421" s="7" t="n">
        <f aca="false">MAX(0,I421)*가정!$B$6</f>
        <v>63120600</v>
      </c>
      <c r="K421" s="7" t="n">
        <f aca="false">가정!$B$5+J421</f>
        <v>67120600</v>
      </c>
      <c r="L421" s="7" t="n">
        <f aca="false">H421-K421</f>
        <v>7013400</v>
      </c>
      <c r="M421" s="8" t="n">
        <f aca="false">IF(B421=0,0,K421/B421)</f>
        <v>0.556371021220159</v>
      </c>
      <c r="N421" s="7" t="n">
        <f aca="false">K421/가정!$B$8</f>
        <v>335603</v>
      </c>
      <c r="O421" s="7" t="n">
        <f aca="false">IF(I421&gt;0,A421,"")</f>
        <v>416</v>
      </c>
      <c r="P421" s="7" t="n">
        <f aca="false">IF(L421&gt;=0,A421,"")</f>
        <v>416</v>
      </c>
      <c r="Q421" s="7" t="n">
        <f aca="false">IF(K421&gt;=가정!$B$32,A421,"")</f>
        <v>416</v>
      </c>
      <c r="R421" s="7" t="str">
        <f aca="false">IF(MAX(0,I421)*(1-가정!$B$6)*'1억 상환'!$B$6&gt;='1억 상환'!$B$5,A421,"")</f>
        <v/>
      </c>
    </row>
    <row r="422" customFormat="false" ht="15" hidden="false" customHeight="false" outlineLevel="0" collapsed="false">
      <c r="A422" s="7" t="n">
        <v>417</v>
      </c>
      <c r="B422" s="7" t="n">
        <f aca="false">A422*가정!$B$10</f>
        <v>120930000</v>
      </c>
      <c r="C422" s="7" t="n">
        <f aca="false">가정!$B$34</f>
        <v>3590000</v>
      </c>
      <c r="D422" s="7" t="n">
        <f aca="false">ROUNDUP(MAX(0,A422-가정!$B$18)/가정!$B$19,0)</f>
        <v>7</v>
      </c>
      <c r="E422" s="7" t="n">
        <f aca="false">D422*가정!$B$20+ROUNDUP(A422/가정!$B$22,0)*가정!$B$21+ROUNDUP(A422/가정!$B$24,0)*가정!$B$23</f>
        <v>42500000</v>
      </c>
      <c r="F422" s="7" t="n">
        <f aca="false">A422*가정!$B$26+B422*가정!$B$27</f>
        <v>417000</v>
      </c>
      <c r="G422" s="7" t="n">
        <f aca="false">B422*가정!$B$28</f>
        <v>0</v>
      </c>
      <c r="H422" s="7" t="n">
        <f aca="false">B422-C422-E422-F422-G422</f>
        <v>74423000</v>
      </c>
      <c r="I422" s="7" t="n">
        <f aca="false">H422-IF(가정!$B$7=1,가정!$B$5,0)</f>
        <v>70423000</v>
      </c>
      <c r="J422" s="7" t="n">
        <f aca="false">MAX(0,I422)*가정!$B$6</f>
        <v>63380700</v>
      </c>
      <c r="K422" s="7" t="n">
        <f aca="false">가정!$B$5+J422</f>
        <v>67380700</v>
      </c>
      <c r="L422" s="7" t="n">
        <f aca="false">H422-K422</f>
        <v>7042300</v>
      </c>
      <c r="M422" s="8" t="n">
        <f aca="false">IF(B422=0,0,K422/B422)</f>
        <v>0.557187629206979</v>
      </c>
      <c r="N422" s="7" t="n">
        <f aca="false">K422/가정!$B$8</f>
        <v>336903.5</v>
      </c>
      <c r="O422" s="7" t="n">
        <f aca="false">IF(I422&gt;0,A422,"")</f>
        <v>417</v>
      </c>
      <c r="P422" s="7" t="n">
        <f aca="false">IF(L422&gt;=0,A422,"")</f>
        <v>417</v>
      </c>
      <c r="Q422" s="7" t="n">
        <f aca="false">IF(K422&gt;=가정!$B$32,A422,"")</f>
        <v>417</v>
      </c>
      <c r="R422" s="7" t="str">
        <f aca="false">IF(MAX(0,I422)*(1-가정!$B$6)*'1억 상환'!$B$6&gt;='1억 상환'!$B$5,A422,"")</f>
        <v/>
      </c>
    </row>
    <row r="423" customFormat="false" ht="15" hidden="false" customHeight="false" outlineLevel="0" collapsed="false">
      <c r="A423" s="7" t="n">
        <v>418</v>
      </c>
      <c r="B423" s="7" t="n">
        <f aca="false">A423*가정!$B$10</f>
        <v>121220000</v>
      </c>
      <c r="C423" s="7" t="n">
        <f aca="false">가정!$B$34</f>
        <v>3590000</v>
      </c>
      <c r="D423" s="7" t="n">
        <f aca="false">ROUNDUP(MAX(0,A423-가정!$B$18)/가정!$B$19,0)</f>
        <v>7</v>
      </c>
      <c r="E423" s="7" t="n">
        <f aca="false">D423*가정!$B$20+ROUNDUP(A423/가정!$B$22,0)*가정!$B$21+ROUNDUP(A423/가정!$B$24,0)*가정!$B$23</f>
        <v>42500000</v>
      </c>
      <c r="F423" s="7" t="n">
        <f aca="false">A423*가정!$B$26+B423*가정!$B$27</f>
        <v>418000</v>
      </c>
      <c r="G423" s="7" t="n">
        <f aca="false">B423*가정!$B$28</f>
        <v>0</v>
      </c>
      <c r="H423" s="7" t="n">
        <f aca="false">B423-C423-E423-F423-G423</f>
        <v>74712000</v>
      </c>
      <c r="I423" s="7" t="n">
        <f aca="false">H423-IF(가정!$B$7=1,가정!$B$5,0)</f>
        <v>70712000</v>
      </c>
      <c r="J423" s="7" t="n">
        <f aca="false">MAX(0,I423)*가정!$B$6</f>
        <v>63640800</v>
      </c>
      <c r="K423" s="7" t="n">
        <f aca="false">가정!$B$5+J423</f>
        <v>67640800</v>
      </c>
      <c r="L423" s="7" t="n">
        <f aca="false">H423-K423</f>
        <v>7071200</v>
      </c>
      <c r="M423" s="8" t="n">
        <f aca="false">IF(B423=0,0,K423/B423)</f>
        <v>0.558000329978551</v>
      </c>
      <c r="N423" s="7" t="n">
        <f aca="false">K423/가정!$B$8</f>
        <v>338204</v>
      </c>
      <c r="O423" s="7" t="n">
        <f aca="false">IF(I423&gt;0,A423,"")</f>
        <v>418</v>
      </c>
      <c r="P423" s="7" t="n">
        <f aca="false">IF(L423&gt;=0,A423,"")</f>
        <v>418</v>
      </c>
      <c r="Q423" s="7" t="n">
        <f aca="false">IF(K423&gt;=가정!$B$32,A423,"")</f>
        <v>418</v>
      </c>
      <c r="R423" s="7" t="str">
        <f aca="false">IF(MAX(0,I423)*(1-가정!$B$6)*'1억 상환'!$B$6&gt;='1억 상환'!$B$5,A423,"")</f>
        <v/>
      </c>
    </row>
    <row r="424" customFormat="false" ht="15" hidden="false" customHeight="false" outlineLevel="0" collapsed="false">
      <c r="A424" s="7" t="n">
        <v>419</v>
      </c>
      <c r="B424" s="7" t="n">
        <f aca="false">A424*가정!$B$10</f>
        <v>121510000</v>
      </c>
      <c r="C424" s="7" t="n">
        <f aca="false">가정!$B$34</f>
        <v>3590000</v>
      </c>
      <c r="D424" s="7" t="n">
        <f aca="false">ROUNDUP(MAX(0,A424-가정!$B$18)/가정!$B$19,0)</f>
        <v>7</v>
      </c>
      <c r="E424" s="7" t="n">
        <f aca="false">D424*가정!$B$20+ROUNDUP(A424/가정!$B$22,0)*가정!$B$21+ROUNDUP(A424/가정!$B$24,0)*가정!$B$23</f>
        <v>42500000</v>
      </c>
      <c r="F424" s="7" t="n">
        <f aca="false">A424*가정!$B$26+B424*가정!$B$27</f>
        <v>419000</v>
      </c>
      <c r="G424" s="7" t="n">
        <f aca="false">B424*가정!$B$28</f>
        <v>0</v>
      </c>
      <c r="H424" s="7" t="n">
        <f aca="false">B424-C424-E424-F424-G424</f>
        <v>75001000</v>
      </c>
      <c r="I424" s="7" t="n">
        <f aca="false">H424-IF(가정!$B$7=1,가정!$B$5,0)</f>
        <v>71001000</v>
      </c>
      <c r="J424" s="7" t="n">
        <f aca="false">MAX(0,I424)*가정!$B$6</f>
        <v>63900900</v>
      </c>
      <c r="K424" s="7" t="n">
        <f aca="false">가정!$B$5+J424</f>
        <v>67900900</v>
      </c>
      <c r="L424" s="7" t="n">
        <f aca="false">H424-K424</f>
        <v>7100100</v>
      </c>
      <c r="M424" s="8" t="n">
        <f aca="false">IF(B424=0,0,K424/B424)</f>
        <v>0.558809151510164</v>
      </c>
      <c r="N424" s="7" t="n">
        <f aca="false">K424/가정!$B$8</f>
        <v>339504.5</v>
      </c>
      <c r="O424" s="7" t="n">
        <f aca="false">IF(I424&gt;0,A424,"")</f>
        <v>419</v>
      </c>
      <c r="P424" s="7" t="n">
        <f aca="false">IF(L424&gt;=0,A424,"")</f>
        <v>419</v>
      </c>
      <c r="Q424" s="7" t="n">
        <f aca="false">IF(K424&gt;=가정!$B$32,A424,"")</f>
        <v>419</v>
      </c>
      <c r="R424" s="7" t="str">
        <f aca="false">IF(MAX(0,I424)*(1-가정!$B$6)*'1억 상환'!$B$6&gt;='1억 상환'!$B$5,A424,"")</f>
        <v/>
      </c>
    </row>
    <row r="425" customFormat="false" ht="15" hidden="false" customHeight="false" outlineLevel="0" collapsed="false">
      <c r="A425" s="7" t="n">
        <v>420</v>
      </c>
      <c r="B425" s="7" t="n">
        <f aca="false">A425*가정!$B$10</f>
        <v>121800000</v>
      </c>
      <c r="C425" s="7" t="n">
        <f aca="false">가정!$B$34</f>
        <v>3590000</v>
      </c>
      <c r="D425" s="7" t="n">
        <f aca="false">ROUNDUP(MAX(0,A425-가정!$B$18)/가정!$B$19,0)</f>
        <v>7</v>
      </c>
      <c r="E425" s="7" t="n">
        <f aca="false">D425*가정!$B$20+ROUNDUP(A425/가정!$B$22,0)*가정!$B$21+ROUNDUP(A425/가정!$B$24,0)*가정!$B$23</f>
        <v>42500000</v>
      </c>
      <c r="F425" s="7" t="n">
        <f aca="false">A425*가정!$B$26+B425*가정!$B$27</f>
        <v>420000</v>
      </c>
      <c r="G425" s="7" t="n">
        <f aca="false">B425*가정!$B$28</f>
        <v>0</v>
      </c>
      <c r="H425" s="7" t="n">
        <f aca="false">B425-C425-E425-F425-G425</f>
        <v>75290000</v>
      </c>
      <c r="I425" s="7" t="n">
        <f aca="false">H425-IF(가정!$B$7=1,가정!$B$5,0)</f>
        <v>71290000</v>
      </c>
      <c r="J425" s="7" t="n">
        <f aca="false">MAX(0,I425)*가정!$B$6</f>
        <v>64161000</v>
      </c>
      <c r="K425" s="7" t="n">
        <f aca="false">가정!$B$5+J425</f>
        <v>68161000</v>
      </c>
      <c r="L425" s="7" t="n">
        <f aca="false">H425-K425</f>
        <v>7129000</v>
      </c>
      <c r="M425" s="8" t="n">
        <f aca="false">IF(B425=0,0,K425/B425)</f>
        <v>0.559614121510673</v>
      </c>
      <c r="N425" s="7" t="n">
        <f aca="false">K425/가정!$B$8</f>
        <v>340805</v>
      </c>
      <c r="O425" s="7" t="n">
        <f aca="false">IF(I425&gt;0,A425,"")</f>
        <v>420</v>
      </c>
      <c r="P425" s="7" t="n">
        <f aca="false">IF(L425&gt;=0,A425,"")</f>
        <v>420</v>
      </c>
      <c r="Q425" s="7" t="n">
        <f aca="false">IF(K425&gt;=가정!$B$32,A425,"")</f>
        <v>420</v>
      </c>
      <c r="R425" s="7" t="str">
        <f aca="false">IF(MAX(0,I425)*(1-가정!$B$6)*'1억 상환'!$B$6&gt;='1억 상환'!$B$5,A425,"")</f>
        <v/>
      </c>
    </row>
    <row r="426" customFormat="false" ht="15" hidden="false" customHeight="false" outlineLevel="0" collapsed="false">
      <c r="A426" s="7" t="n">
        <v>421</v>
      </c>
      <c r="B426" s="7" t="n">
        <f aca="false">A426*가정!$B$10</f>
        <v>122090000</v>
      </c>
      <c r="C426" s="7" t="n">
        <f aca="false">가정!$B$34</f>
        <v>3590000</v>
      </c>
      <c r="D426" s="7" t="n">
        <f aca="false">ROUNDUP(MAX(0,A426-가정!$B$18)/가정!$B$19,0)</f>
        <v>8</v>
      </c>
      <c r="E426" s="7" t="n">
        <f aca="false">D426*가정!$B$20+ROUNDUP(A426/가정!$B$22,0)*가정!$B$21+ROUNDUP(A426/가정!$B$24,0)*가정!$B$23</f>
        <v>47000000</v>
      </c>
      <c r="F426" s="7" t="n">
        <f aca="false">A426*가정!$B$26+B426*가정!$B$27</f>
        <v>421000</v>
      </c>
      <c r="G426" s="7" t="n">
        <f aca="false">B426*가정!$B$28</f>
        <v>0</v>
      </c>
      <c r="H426" s="7" t="n">
        <f aca="false">B426-C426-E426-F426-G426</f>
        <v>71079000</v>
      </c>
      <c r="I426" s="7" t="n">
        <f aca="false">H426-IF(가정!$B$7=1,가정!$B$5,0)</f>
        <v>67079000</v>
      </c>
      <c r="J426" s="7" t="n">
        <f aca="false">MAX(0,I426)*가정!$B$6</f>
        <v>60371100</v>
      </c>
      <c r="K426" s="7" t="n">
        <f aca="false">가정!$B$5+J426</f>
        <v>64371100</v>
      </c>
      <c r="L426" s="7" t="n">
        <f aca="false">H426-K426</f>
        <v>6707900</v>
      </c>
      <c r="M426" s="8" t="n">
        <f aca="false">IF(B426=0,0,K426/B426)</f>
        <v>0.527243017446146</v>
      </c>
      <c r="N426" s="7" t="n">
        <f aca="false">K426/가정!$B$8</f>
        <v>321855.5</v>
      </c>
      <c r="O426" s="7" t="n">
        <f aca="false">IF(I426&gt;0,A426,"")</f>
        <v>421</v>
      </c>
      <c r="P426" s="7" t="n">
        <f aca="false">IF(L426&gt;=0,A426,"")</f>
        <v>421</v>
      </c>
      <c r="Q426" s="7" t="n">
        <f aca="false">IF(K426&gt;=가정!$B$32,A426,"")</f>
        <v>421</v>
      </c>
      <c r="R426" s="7" t="str">
        <f aca="false">IF(MAX(0,I426)*(1-가정!$B$6)*'1억 상환'!$B$6&gt;='1억 상환'!$B$5,A426,"")</f>
        <v/>
      </c>
    </row>
    <row r="427" customFormat="false" ht="15" hidden="false" customHeight="false" outlineLevel="0" collapsed="false">
      <c r="A427" s="7" t="n">
        <v>422</v>
      </c>
      <c r="B427" s="7" t="n">
        <f aca="false">A427*가정!$B$10</f>
        <v>122380000</v>
      </c>
      <c r="C427" s="7" t="n">
        <f aca="false">가정!$B$34</f>
        <v>3590000</v>
      </c>
      <c r="D427" s="7" t="n">
        <f aca="false">ROUNDUP(MAX(0,A427-가정!$B$18)/가정!$B$19,0)</f>
        <v>8</v>
      </c>
      <c r="E427" s="7" t="n">
        <f aca="false">D427*가정!$B$20+ROUNDUP(A427/가정!$B$22,0)*가정!$B$21+ROUNDUP(A427/가정!$B$24,0)*가정!$B$23</f>
        <v>47000000</v>
      </c>
      <c r="F427" s="7" t="n">
        <f aca="false">A427*가정!$B$26+B427*가정!$B$27</f>
        <v>422000</v>
      </c>
      <c r="G427" s="7" t="n">
        <f aca="false">B427*가정!$B$28</f>
        <v>0</v>
      </c>
      <c r="H427" s="7" t="n">
        <f aca="false">B427-C427-E427-F427-G427</f>
        <v>71368000</v>
      </c>
      <c r="I427" s="7" t="n">
        <f aca="false">H427-IF(가정!$B$7=1,가정!$B$5,0)</f>
        <v>67368000</v>
      </c>
      <c r="J427" s="7" t="n">
        <f aca="false">MAX(0,I427)*가정!$B$6</f>
        <v>60631200</v>
      </c>
      <c r="K427" s="7" t="n">
        <f aca="false">가정!$B$5+J427</f>
        <v>64631200</v>
      </c>
      <c r="L427" s="7" t="n">
        <f aca="false">H427-K427</f>
        <v>6736800</v>
      </c>
      <c r="M427" s="8" t="n">
        <f aca="false">IF(B427=0,0,K427/B427)</f>
        <v>0.528118973688511</v>
      </c>
      <c r="N427" s="7" t="n">
        <f aca="false">K427/가정!$B$8</f>
        <v>323156</v>
      </c>
      <c r="O427" s="7" t="n">
        <f aca="false">IF(I427&gt;0,A427,"")</f>
        <v>422</v>
      </c>
      <c r="P427" s="7" t="n">
        <f aca="false">IF(L427&gt;=0,A427,"")</f>
        <v>422</v>
      </c>
      <c r="Q427" s="7" t="n">
        <f aca="false">IF(K427&gt;=가정!$B$32,A427,"")</f>
        <v>422</v>
      </c>
      <c r="R427" s="7" t="str">
        <f aca="false">IF(MAX(0,I427)*(1-가정!$B$6)*'1억 상환'!$B$6&gt;='1억 상환'!$B$5,A427,"")</f>
        <v/>
      </c>
    </row>
    <row r="428" customFormat="false" ht="15" hidden="false" customHeight="false" outlineLevel="0" collapsed="false">
      <c r="A428" s="7" t="n">
        <v>423</v>
      </c>
      <c r="B428" s="7" t="n">
        <f aca="false">A428*가정!$B$10</f>
        <v>122670000</v>
      </c>
      <c r="C428" s="7" t="n">
        <f aca="false">가정!$B$34</f>
        <v>3590000</v>
      </c>
      <c r="D428" s="7" t="n">
        <f aca="false">ROUNDUP(MAX(0,A428-가정!$B$18)/가정!$B$19,0)</f>
        <v>8</v>
      </c>
      <c r="E428" s="7" t="n">
        <f aca="false">D428*가정!$B$20+ROUNDUP(A428/가정!$B$22,0)*가정!$B$21+ROUNDUP(A428/가정!$B$24,0)*가정!$B$23</f>
        <v>47000000</v>
      </c>
      <c r="F428" s="7" t="n">
        <f aca="false">A428*가정!$B$26+B428*가정!$B$27</f>
        <v>423000</v>
      </c>
      <c r="G428" s="7" t="n">
        <f aca="false">B428*가정!$B$28</f>
        <v>0</v>
      </c>
      <c r="H428" s="7" t="n">
        <f aca="false">B428-C428-E428-F428-G428</f>
        <v>71657000</v>
      </c>
      <c r="I428" s="7" t="n">
        <f aca="false">H428-IF(가정!$B$7=1,가정!$B$5,0)</f>
        <v>67657000</v>
      </c>
      <c r="J428" s="7" t="n">
        <f aca="false">MAX(0,I428)*가정!$B$6</f>
        <v>60891300</v>
      </c>
      <c r="K428" s="7" t="n">
        <f aca="false">가정!$B$5+J428</f>
        <v>64891300</v>
      </c>
      <c r="L428" s="7" t="n">
        <f aca="false">H428-K428</f>
        <v>6765700</v>
      </c>
      <c r="M428" s="8" t="n">
        <f aca="false">IF(B428=0,0,K428/B428)</f>
        <v>0.528990788293796</v>
      </c>
      <c r="N428" s="7" t="n">
        <f aca="false">K428/가정!$B$8</f>
        <v>324456.5</v>
      </c>
      <c r="O428" s="7" t="n">
        <f aca="false">IF(I428&gt;0,A428,"")</f>
        <v>423</v>
      </c>
      <c r="P428" s="7" t="n">
        <f aca="false">IF(L428&gt;=0,A428,"")</f>
        <v>423</v>
      </c>
      <c r="Q428" s="7" t="n">
        <f aca="false">IF(K428&gt;=가정!$B$32,A428,"")</f>
        <v>423</v>
      </c>
      <c r="R428" s="7" t="str">
        <f aca="false">IF(MAX(0,I428)*(1-가정!$B$6)*'1억 상환'!$B$6&gt;='1억 상환'!$B$5,A428,"")</f>
        <v/>
      </c>
    </row>
    <row r="429" customFormat="false" ht="15" hidden="false" customHeight="false" outlineLevel="0" collapsed="false">
      <c r="A429" s="7" t="n">
        <v>424</v>
      </c>
      <c r="B429" s="7" t="n">
        <f aca="false">A429*가정!$B$10</f>
        <v>122960000</v>
      </c>
      <c r="C429" s="7" t="n">
        <f aca="false">가정!$B$34</f>
        <v>3590000</v>
      </c>
      <c r="D429" s="7" t="n">
        <f aca="false">ROUNDUP(MAX(0,A429-가정!$B$18)/가정!$B$19,0)</f>
        <v>8</v>
      </c>
      <c r="E429" s="7" t="n">
        <f aca="false">D429*가정!$B$20+ROUNDUP(A429/가정!$B$22,0)*가정!$B$21+ROUNDUP(A429/가정!$B$24,0)*가정!$B$23</f>
        <v>47000000</v>
      </c>
      <c r="F429" s="7" t="n">
        <f aca="false">A429*가정!$B$26+B429*가정!$B$27</f>
        <v>424000</v>
      </c>
      <c r="G429" s="7" t="n">
        <f aca="false">B429*가정!$B$28</f>
        <v>0</v>
      </c>
      <c r="H429" s="7" t="n">
        <f aca="false">B429-C429-E429-F429-G429</f>
        <v>71946000</v>
      </c>
      <c r="I429" s="7" t="n">
        <f aca="false">H429-IF(가정!$B$7=1,가정!$B$5,0)</f>
        <v>67946000</v>
      </c>
      <c r="J429" s="7" t="n">
        <f aca="false">MAX(0,I429)*가정!$B$6</f>
        <v>61151400</v>
      </c>
      <c r="K429" s="7" t="n">
        <f aca="false">가정!$B$5+J429</f>
        <v>65151400</v>
      </c>
      <c r="L429" s="7" t="n">
        <f aca="false">H429-K429</f>
        <v>6794600</v>
      </c>
      <c r="M429" s="8" t="n">
        <f aca="false">IF(B429=0,0,K429/B429)</f>
        <v>0.529858490566038</v>
      </c>
      <c r="N429" s="7" t="n">
        <f aca="false">K429/가정!$B$8</f>
        <v>325757</v>
      </c>
      <c r="O429" s="7" t="n">
        <f aca="false">IF(I429&gt;0,A429,"")</f>
        <v>424</v>
      </c>
      <c r="P429" s="7" t="n">
        <f aca="false">IF(L429&gt;=0,A429,"")</f>
        <v>424</v>
      </c>
      <c r="Q429" s="7" t="n">
        <f aca="false">IF(K429&gt;=가정!$B$32,A429,"")</f>
        <v>424</v>
      </c>
      <c r="R429" s="7" t="str">
        <f aca="false">IF(MAX(0,I429)*(1-가정!$B$6)*'1억 상환'!$B$6&gt;='1억 상환'!$B$5,A429,"")</f>
        <v/>
      </c>
    </row>
    <row r="430" customFormat="false" ht="15" hidden="false" customHeight="false" outlineLevel="0" collapsed="false">
      <c r="A430" s="7" t="n">
        <v>425</v>
      </c>
      <c r="B430" s="7" t="n">
        <f aca="false">A430*가정!$B$10</f>
        <v>123250000</v>
      </c>
      <c r="C430" s="7" t="n">
        <f aca="false">가정!$B$34</f>
        <v>3590000</v>
      </c>
      <c r="D430" s="7" t="n">
        <f aca="false">ROUNDUP(MAX(0,A430-가정!$B$18)/가정!$B$19,0)</f>
        <v>8</v>
      </c>
      <c r="E430" s="7" t="n">
        <f aca="false">D430*가정!$B$20+ROUNDUP(A430/가정!$B$22,0)*가정!$B$21+ROUNDUP(A430/가정!$B$24,0)*가정!$B$23</f>
        <v>47000000</v>
      </c>
      <c r="F430" s="7" t="n">
        <f aca="false">A430*가정!$B$26+B430*가정!$B$27</f>
        <v>425000</v>
      </c>
      <c r="G430" s="7" t="n">
        <f aca="false">B430*가정!$B$28</f>
        <v>0</v>
      </c>
      <c r="H430" s="7" t="n">
        <f aca="false">B430-C430-E430-F430-G430</f>
        <v>72235000</v>
      </c>
      <c r="I430" s="7" t="n">
        <f aca="false">H430-IF(가정!$B$7=1,가정!$B$5,0)</f>
        <v>68235000</v>
      </c>
      <c r="J430" s="7" t="n">
        <f aca="false">MAX(0,I430)*가정!$B$6</f>
        <v>61411500</v>
      </c>
      <c r="K430" s="7" t="n">
        <f aca="false">가정!$B$5+J430</f>
        <v>65411500</v>
      </c>
      <c r="L430" s="7" t="n">
        <f aca="false">H430-K430</f>
        <v>6823500</v>
      </c>
      <c r="M430" s="8" t="n">
        <f aca="false">IF(B430=0,0,K430/B430)</f>
        <v>0.530722109533469</v>
      </c>
      <c r="N430" s="7" t="n">
        <f aca="false">K430/가정!$B$8</f>
        <v>327057.5</v>
      </c>
      <c r="O430" s="7" t="n">
        <f aca="false">IF(I430&gt;0,A430,"")</f>
        <v>425</v>
      </c>
      <c r="P430" s="7" t="n">
        <f aca="false">IF(L430&gt;=0,A430,"")</f>
        <v>425</v>
      </c>
      <c r="Q430" s="7" t="n">
        <f aca="false">IF(K430&gt;=가정!$B$32,A430,"")</f>
        <v>425</v>
      </c>
      <c r="R430" s="7" t="str">
        <f aca="false">IF(MAX(0,I430)*(1-가정!$B$6)*'1억 상환'!$B$6&gt;='1억 상환'!$B$5,A430,"")</f>
        <v/>
      </c>
    </row>
    <row r="431" customFormat="false" ht="15" hidden="false" customHeight="false" outlineLevel="0" collapsed="false">
      <c r="A431" s="7" t="n">
        <v>426</v>
      </c>
      <c r="B431" s="7" t="n">
        <f aca="false">A431*가정!$B$10</f>
        <v>123540000</v>
      </c>
      <c r="C431" s="7" t="n">
        <f aca="false">가정!$B$34</f>
        <v>3590000</v>
      </c>
      <c r="D431" s="7" t="n">
        <f aca="false">ROUNDUP(MAX(0,A431-가정!$B$18)/가정!$B$19,0)</f>
        <v>8</v>
      </c>
      <c r="E431" s="7" t="n">
        <f aca="false">D431*가정!$B$20+ROUNDUP(A431/가정!$B$22,0)*가정!$B$21+ROUNDUP(A431/가정!$B$24,0)*가정!$B$23</f>
        <v>47000000</v>
      </c>
      <c r="F431" s="7" t="n">
        <f aca="false">A431*가정!$B$26+B431*가정!$B$27</f>
        <v>426000</v>
      </c>
      <c r="G431" s="7" t="n">
        <f aca="false">B431*가정!$B$28</f>
        <v>0</v>
      </c>
      <c r="H431" s="7" t="n">
        <f aca="false">B431-C431-E431-F431-G431</f>
        <v>72524000</v>
      </c>
      <c r="I431" s="7" t="n">
        <f aca="false">H431-IF(가정!$B$7=1,가정!$B$5,0)</f>
        <v>68524000</v>
      </c>
      <c r="J431" s="7" t="n">
        <f aca="false">MAX(0,I431)*가정!$B$6</f>
        <v>61671600</v>
      </c>
      <c r="K431" s="7" t="n">
        <f aca="false">가정!$B$5+J431</f>
        <v>65671600</v>
      </c>
      <c r="L431" s="7" t="n">
        <f aca="false">H431-K431</f>
        <v>6852400</v>
      </c>
      <c r="M431" s="8" t="n">
        <f aca="false">IF(B431=0,0,K431/B431)</f>
        <v>0.531581673951757</v>
      </c>
      <c r="N431" s="7" t="n">
        <f aca="false">K431/가정!$B$8</f>
        <v>328358</v>
      </c>
      <c r="O431" s="7" t="n">
        <f aca="false">IF(I431&gt;0,A431,"")</f>
        <v>426</v>
      </c>
      <c r="P431" s="7" t="n">
        <f aca="false">IF(L431&gt;=0,A431,"")</f>
        <v>426</v>
      </c>
      <c r="Q431" s="7" t="n">
        <f aca="false">IF(K431&gt;=가정!$B$32,A431,"")</f>
        <v>426</v>
      </c>
      <c r="R431" s="7" t="str">
        <f aca="false">IF(MAX(0,I431)*(1-가정!$B$6)*'1억 상환'!$B$6&gt;='1억 상환'!$B$5,A431,"")</f>
        <v/>
      </c>
    </row>
    <row r="432" customFormat="false" ht="15" hidden="false" customHeight="false" outlineLevel="0" collapsed="false">
      <c r="A432" s="7" t="n">
        <v>427</v>
      </c>
      <c r="B432" s="7" t="n">
        <f aca="false">A432*가정!$B$10</f>
        <v>123830000</v>
      </c>
      <c r="C432" s="7" t="n">
        <f aca="false">가정!$B$34</f>
        <v>3590000</v>
      </c>
      <c r="D432" s="7" t="n">
        <f aca="false">ROUNDUP(MAX(0,A432-가정!$B$18)/가정!$B$19,0)</f>
        <v>8</v>
      </c>
      <c r="E432" s="7" t="n">
        <f aca="false">D432*가정!$B$20+ROUNDUP(A432/가정!$B$22,0)*가정!$B$21+ROUNDUP(A432/가정!$B$24,0)*가정!$B$23</f>
        <v>47000000</v>
      </c>
      <c r="F432" s="7" t="n">
        <f aca="false">A432*가정!$B$26+B432*가정!$B$27</f>
        <v>427000</v>
      </c>
      <c r="G432" s="7" t="n">
        <f aca="false">B432*가정!$B$28</f>
        <v>0</v>
      </c>
      <c r="H432" s="7" t="n">
        <f aca="false">B432-C432-E432-F432-G432</f>
        <v>72813000</v>
      </c>
      <c r="I432" s="7" t="n">
        <f aca="false">H432-IF(가정!$B$7=1,가정!$B$5,0)</f>
        <v>68813000</v>
      </c>
      <c r="J432" s="7" t="n">
        <f aca="false">MAX(0,I432)*가정!$B$6</f>
        <v>61931700</v>
      </c>
      <c r="K432" s="7" t="n">
        <f aca="false">가정!$B$5+J432</f>
        <v>65931700</v>
      </c>
      <c r="L432" s="7" t="n">
        <f aca="false">H432-K432</f>
        <v>6881300</v>
      </c>
      <c r="M432" s="8" t="n">
        <f aca="false">IF(B432=0,0,K432/B432)</f>
        <v>0.532437212307195</v>
      </c>
      <c r="N432" s="7" t="n">
        <f aca="false">K432/가정!$B$8</f>
        <v>329658.5</v>
      </c>
      <c r="O432" s="7" t="n">
        <f aca="false">IF(I432&gt;0,A432,"")</f>
        <v>427</v>
      </c>
      <c r="P432" s="7" t="n">
        <f aca="false">IF(L432&gt;=0,A432,"")</f>
        <v>427</v>
      </c>
      <c r="Q432" s="7" t="n">
        <f aca="false">IF(K432&gt;=가정!$B$32,A432,"")</f>
        <v>427</v>
      </c>
      <c r="R432" s="7" t="str">
        <f aca="false">IF(MAX(0,I432)*(1-가정!$B$6)*'1억 상환'!$B$6&gt;='1억 상환'!$B$5,A432,"")</f>
        <v/>
      </c>
    </row>
    <row r="433" customFormat="false" ht="15" hidden="false" customHeight="false" outlineLevel="0" collapsed="false">
      <c r="A433" s="7" t="n">
        <v>428</v>
      </c>
      <c r="B433" s="7" t="n">
        <f aca="false">A433*가정!$B$10</f>
        <v>124120000</v>
      </c>
      <c r="C433" s="7" t="n">
        <f aca="false">가정!$B$34</f>
        <v>3590000</v>
      </c>
      <c r="D433" s="7" t="n">
        <f aca="false">ROUNDUP(MAX(0,A433-가정!$B$18)/가정!$B$19,0)</f>
        <v>8</v>
      </c>
      <c r="E433" s="7" t="n">
        <f aca="false">D433*가정!$B$20+ROUNDUP(A433/가정!$B$22,0)*가정!$B$21+ROUNDUP(A433/가정!$B$24,0)*가정!$B$23</f>
        <v>47000000</v>
      </c>
      <c r="F433" s="7" t="n">
        <f aca="false">A433*가정!$B$26+B433*가정!$B$27</f>
        <v>428000</v>
      </c>
      <c r="G433" s="7" t="n">
        <f aca="false">B433*가정!$B$28</f>
        <v>0</v>
      </c>
      <c r="H433" s="7" t="n">
        <f aca="false">B433-C433-E433-F433-G433</f>
        <v>73102000</v>
      </c>
      <c r="I433" s="7" t="n">
        <f aca="false">H433-IF(가정!$B$7=1,가정!$B$5,0)</f>
        <v>69102000</v>
      </c>
      <c r="J433" s="7" t="n">
        <f aca="false">MAX(0,I433)*가정!$B$6</f>
        <v>62191800</v>
      </c>
      <c r="K433" s="7" t="n">
        <f aca="false">가정!$B$5+J433</f>
        <v>66191800</v>
      </c>
      <c r="L433" s="7" t="n">
        <f aca="false">H433-K433</f>
        <v>6910200</v>
      </c>
      <c r="M433" s="8" t="n">
        <f aca="false">IF(B433=0,0,K433/B433)</f>
        <v>0.533288752819852</v>
      </c>
      <c r="N433" s="7" t="n">
        <f aca="false">K433/가정!$B$8</f>
        <v>330959</v>
      </c>
      <c r="O433" s="7" t="n">
        <f aca="false">IF(I433&gt;0,A433,"")</f>
        <v>428</v>
      </c>
      <c r="P433" s="7" t="n">
        <f aca="false">IF(L433&gt;=0,A433,"")</f>
        <v>428</v>
      </c>
      <c r="Q433" s="7" t="n">
        <f aca="false">IF(K433&gt;=가정!$B$32,A433,"")</f>
        <v>428</v>
      </c>
      <c r="R433" s="7" t="str">
        <f aca="false">IF(MAX(0,I433)*(1-가정!$B$6)*'1억 상환'!$B$6&gt;='1억 상환'!$B$5,A433,"")</f>
        <v/>
      </c>
    </row>
    <row r="434" customFormat="false" ht="15" hidden="false" customHeight="false" outlineLevel="0" collapsed="false">
      <c r="A434" s="7" t="n">
        <v>429</v>
      </c>
      <c r="B434" s="7" t="n">
        <f aca="false">A434*가정!$B$10</f>
        <v>124410000</v>
      </c>
      <c r="C434" s="7" t="n">
        <f aca="false">가정!$B$34</f>
        <v>3590000</v>
      </c>
      <c r="D434" s="7" t="n">
        <f aca="false">ROUNDUP(MAX(0,A434-가정!$B$18)/가정!$B$19,0)</f>
        <v>8</v>
      </c>
      <c r="E434" s="7" t="n">
        <f aca="false">D434*가정!$B$20+ROUNDUP(A434/가정!$B$22,0)*가정!$B$21+ROUNDUP(A434/가정!$B$24,0)*가정!$B$23</f>
        <v>47000000</v>
      </c>
      <c r="F434" s="7" t="n">
        <f aca="false">A434*가정!$B$26+B434*가정!$B$27</f>
        <v>429000</v>
      </c>
      <c r="G434" s="7" t="n">
        <f aca="false">B434*가정!$B$28</f>
        <v>0</v>
      </c>
      <c r="H434" s="7" t="n">
        <f aca="false">B434-C434-E434-F434-G434</f>
        <v>73391000</v>
      </c>
      <c r="I434" s="7" t="n">
        <f aca="false">H434-IF(가정!$B$7=1,가정!$B$5,0)</f>
        <v>69391000</v>
      </c>
      <c r="J434" s="7" t="n">
        <f aca="false">MAX(0,I434)*가정!$B$6</f>
        <v>62451900</v>
      </c>
      <c r="K434" s="7" t="n">
        <f aca="false">가정!$B$5+J434</f>
        <v>66451900</v>
      </c>
      <c r="L434" s="7" t="n">
        <f aca="false">H434-K434</f>
        <v>6939100</v>
      </c>
      <c r="M434" s="8" t="n">
        <f aca="false">IF(B434=0,0,K434/B434)</f>
        <v>0.534136323446668</v>
      </c>
      <c r="N434" s="7" t="n">
        <f aca="false">K434/가정!$B$8</f>
        <v>332259.5</v>
      </c>
      <c r="O434" s="7" t="n">
        <f aca="false">IF(I434&gt;0,A434,"")</f>
        <v>429</v>
      </c>
      <c r="P434" s="7" t="n">
        <f aca="false">IF(L434&gt;=0,A434,"")</f>
        <v>429</v>
      </c>
      <c r="Q434" s="7" t="n">
        <f aca="false">IF(K434&gt;=가정!$B$32,A434,"")</f>
        <v>429</v>
      </c>
      <c r="R434" s="7" t="str">
        <f aca="false">IF(MAX(0,I434)*(1-가정!$B$6)*'1억 상환'!$B$6&gt;='1억 상환'!$B$5,A434,"")</f>
        <v/>
      </c>
    </row>
    <row r="435" customFormat="false" ht="15" hidden="false" customHeight="false" outlineLevel="0" collapsed="false">
      <c r="A435" s="7" t="n">
        <v>430</v>
      </c>
      <c r="B435" s="7" t="n">
        <f aca="false">A435*가정!$B$10</f>
        <v>124700000</v>
      </c>
      <c r="C435" s="7" t="n">
        <f aca="false">가정!$B$34</f>
        <v>3590000</v>
      </c>
      <c r="D435" s="7" t="n">
        <f aca="false">ROUNDUP(MAX(0,A435-가정!$B$18)/가정!$B$19,0)</f>
        <v>8</v>
      </c>
      <c r="E435" s="7" t="n">
        <f aca="false">D435*가정!$B$20+ROUNDUP(A435/가정!$B$22,0)*가정!$B$21+ROUNDUP(A435/가정!$B$24,0)*가정!$B$23</f>
        <v>47000000</v>
      </c>
      <c r="F435" s="7" t="n">
        <f aca="false">A435*가정!$B$26+B435*가정!$B$27</f>
        <v>430000</v>
      </c>
      <c r="G435" s="7" t="n">
        <f aca="false">B435*가정!$B$28</f>
        <v>0</v>
      </c>
      <c r="H435" s="7" t="n">
        <f aca="false">B435-C435-E435-F435-G435</f>
        <v>73680000</v>
      </c>
      <c r="I435" s="7" t="n">
        <f aca="false">H435-IF(가정!$B$7=1,가정!$B$5,0)</f>
        <v>69680000</v>
      </c>
      <c r="J435" s="7" t="n">
        <f aca="false">MAX(0,I435)*가정!$B$6</f>
        <v>62712000</v>
      </c>
      <c r="K435" s="7" t="n">
        <f aca="false">가정!$B$5+J435</f>
        <v>66712000</v>
      </c>
      <c r="L435" s="7" t="n">
        <f aca="false">H435-K435</f>
        <v>6968000</v>
      </c>
      <c r="M435" s="8" t="n">
        <f aca="false">IF(B435=0,0,K435/B435)</f>
        <v>0.534979951884523</v>
      </c>
      <c r="N435" s="7" t="n">
        <f aca="false">K435/가정!$B$8</f>
        <v>333560</v>
      </c>
      <c r="O435" s="7" t="n">
        <f aca="false">IF(I435&gt;0,A435,"")</f>
        <v>430</v>
      </c>
      <c r="P435" s="7" t="n">
        <f aca="false">IF(L435&gt;=0,A435,"")</f>
        <v>430</v>
      </c>
      <c r="Q435" s="7" t="n">
        <f aca="false">IF(K435&gt;=가정!$B$32,A435,"")</f>
        <v>430</v>
      </c>
      <c r="R435" s="7" t="str">
        <f aca="false">IF(MAX(0,I435)*(1-가정!$B$6)*'1억 상환'!$B$6&gt;='1억 상환'!$B$5,A435,"")</f>
        <v/>
      </c>
    </row>
    <row r="436" customFormat="false" ht="15" hidden="false" customHeight="false" outlineLevel="0" collapsed="false">
      <c r="A436" s="7" t="n">
        <v>431</v>
      </c>
      <c r="B436" s="7" t="n">
        <f aca="false">A436*가정!$B$10</f>
        <v>124990000</v>
      </c>
      <c r="C436" s="7" t="n">
        <f aca="false">가정!$B$34</f>
        <v>3590000</v>
      </c>
      <c r="D436" s="7" t="n">
        <f aca="false">ROUNDUP(MAX(0,A436-가정!$B$18)/가정!$B$19,0)</f>
        <v>8</v>
      </c>
      <c r="E436" s="7" t="n">
        <f aca="false">D436*가정!$B$20+ROUNDUP(A436/가정!$B$22,0)*가정!$B$21+ROUNDUP(A436/가정!$B$24,0)*가정!$B$23</f>
        <v>47000000</v>
      </c>
      <c r="F436" s="7" t="n">
        <f aca="false">A436*가정!$B$26+B436*가정!$B$27</f>
        <v>431000</v>
      </c>
      <c r="G436" s="7" t="n">
        <f aca="false">B436*가정!$B$28</f>
        <v>0</v>
      </c>
      <c r="H436" s="7" t="n">
        <f aca="false">B436-C436-E436-F436-G436</f>
        <v>73969000</v>
      </c>
      <c r="I436" s="7" t="n">
        <f aca="false">H436-IF(가정!$B$7=1,가정!$B$5,0)</f>
        <v>69969000</v>
      </c>
      <c r="J436" s="7" t="n">
        <f aca="false">MAX(0,I436)*가정!$B$6</f>
        <v>62972100</v>
      </c>
      <c r="K436" s="7" t="n">
        <f aca="false">가정!$B$5+J436</f>
        <v>66972100</v>
      </c>
      <c r="L436" s="7" t="n">
        <f aca="false">H436-K436</f>
        <v>6996900</v>
      </c>
      <c r="M436" s="8" t="n">
        <f aca="false">IF(B436=0,0,K436/B436)</f>
        <v>0.535819665573246</v>
      </c>
      <c r="N436" s="7" t="n">
        <f aca="false">K436/가정!$B$8</f>
        <v>334860.5</v>
      </c>
      <c r="O436" s="7" t="n">
        <f aca="false">IF(I436&gt;0,A436,"")</f>
        <v>431</v>
      </c>
      <c r="P436" s="7" t="n">
        <f aca="false">IF(L436&gt;=0,A436,"")</f>
        <v>431</v>
      </c>
      <c r="Q436" s="7" t="n">
        <f aca="false">IF(K436&gt;=가정!$B$32,A436,"")</f>
        <v>431</v>
      </c>
      <c r="R436" s="7" t="str">
        <f aca="false">IF(MAX(0,I436)*(1-가정!$B$6)*'1억 상환'!$B$6&gt;='1억 상환'!$B$5,A436,"")</f>
        <v/>
      </c>
    </row>
    <row r="437" customFormat="false" ht="15" hidden="false" customHeight="false" outlineLevel="0" collapsed="false">
      <c r="A437" s="7" t="n">
        <v>432</v>
      </c>
      <c r="B437" s="7" t="n">
        <f aca="false">A437*가정!$B$10</f>
        <v>125280000</v>
      </c>
      <c r="C437" s="7" t="n">
        <f aca="false">가정!$B$34</f>
        <v>3590000</v>
      </c>
      <c r="D437" s="7" t="n">
        <f aca="false">ROUNDUP(MAX(0,A437-가정!$B$18)/가정!$B$19,0)</f>
        <v>8</v>
      </c>
      <c r="E437" s="7" t="n">
        <f aca="false">D437*가정!$B$20+ROUNDUP(A437/가정!$B$22,0)*가정!$B$21+ROUNDUP(A437/가정!$B$24,0)*가정!$B$23</f>
        <v>47000000</v>
      </c>
      <c r="F437" s="7" t="n">
        <f aca="false">A437*가정!$B$26+B437*가정!$B$27</f>
        <v>432000</v>
      </c>
      <c r="G437" s="7" t="n">
        <f aca="false">B437*가정!$B$28</f>
        <v>0</v>
      </c>
      <c r="H437" s="7" t="n">
        <f aca="false">B437-C437-E437-F437-G437</f>
        <v>74258000</v>
      </c>
      <c r="I437" s="7" t="n">
        <f aca="false">H437-IF(가정!$B$7=1,가정!$B$5,0)</f>
        <v>70258000</v>
      </c>
      <c r="J437" s="7" t="n">
        <f aca="false">MAX(0,I437)*가정!$B$6</f>
        <v>63232200</v>
      </c>
      <c r="K437" s="7" t="n">
        <f aca="false">가정!$B$5+J437</f>
        <v>67232200</v>
      </c>
      <c r="L437" s="7" t="n">
        <f aca="false">H437-K437</f>
        <v>7025800</v>
      </c>
      <c r="M437" s="8" t="n">
        <f aca="false">IF(B437=0,0,K437/B437)</f>
        <v>0.536655491698595</v>
      </c>
      <c r="N437" s="7" t="n">
        <f aca="false">K437/가정!$B$8</f>
        <v>336161</v>
      </c>
      <c r="O437" s="7" t="n">
        <f aca="false">IF(I437&gt;0,A437,"")</f>
        <v>432</v>
      </c>
      <c r="P437" s="7" t="n">
        <f aca="false">IF(L437&gt;=0,A437,"")</f>
        <v>432</v>
      </c>
      <c r="Q437" s="7" t="n">
        <f aca="false">IF(K437&gt;=가정!$B$32,A437,"")</f>
        <v>432</v>
      </c>
      <c r="R437" s="7" t="str">
        <f aca="false">IF(MAX(0,I437)*(1-가정!$B$6)*'1억 상환'!$B$6&gt;='1억 상환'!$B$5,A437,"")</f>
        <v/>
      </c>
    </row>
    <row r="438" customFormat="false" ht="15" hidden="false" customHeight="false" outlineLevel="0" collapsed="false">
      <c r="A438" s="7" t="n">
        <v>433</v>
      </c>
      <c r="B438" s="7" t="n">
        <f aca="false">A438*가정!$B$10</f>
        <v>125570000</v>
      </c>
      <c r="C438" s="7" t="n">
        <f aca="false">가정!$B$34</f>
        <v>3590000</v>
      </c>
      <c r="D438" s="7" t="n">
        <f aca="false">ROUNDUP(MAX(0,A438-가정!$B$18)/가정!$B$19,0)</f>
        <v>8</v>
      </c>
      <c r="E438" s="7" t="n">
        <f aca="false">D438*가정!$B$20+ROUNDUP(A438/가정!$B$22,0)*가정!$B$21+ROUNDUP(A438/가정!$B$24,0)*가정!$B$23</f>
        <v>47000000</v>
      </c>
      <c r="F438" s="7" t="n">
        <f aca="false">A438*가정!$B$26+B438*가정!$B$27</f>
        <v>433000</v>
      </c>
      <c r="G438" s="7" t="n">
        <f aca="false">B438*가정!$B$28</f>
        <v>0</v>
      </c>
      <c r="H438" s="7" t="n">
        <f aca="false">B438-C438-E438-F438-G438</f>
        <v>74547000</v>
      </c>
      <c r="I438" s="7" t="n">
        <f aca="false">H438-IF(가정!$B$7=1,가정!$B$5,0)</f>
        <v>70547000</v>
      </c>
      <c r="J438" s="7" t="n">
        <f aca="false">MAX(0,I438)*가정!$B$6</f>
        <v>63492300</v>
      </c>
      <c r="K438" s="7" t="n">
        <f aca="false">가정!$B$5+J438</f>
        <v>67492300</v>
      </c>
      <c r="L438" s="7" t="n">
        <f aca="false">H438-K438</f>
        <v>7054700</v>
      </c>
      <c r="M438" s="8" t="n">
        <f aca="false">IF(B438=0,0,K438/B438)</f>
        <v>0.53748745719519</v>
      </c>
      <c r="N438" s="7" t="n">
        <f aca="false">K438/가정!$B$8</f>
        <v>337461.5</v>
      </c>
      <c r="O438" s="7" t="n">
        <f aca="false">IF(I438&gt;0,A438,"")</f>
        <v>433</v>
      </c>
      <c r="P438" s="7" t="n">
        <f aca="false">IF(L438&gt;=0,A438,"")</f>
        <v>433</v>
      </c>
      <c r="Q438" s="7" t="n">
        <f aca="false">IF(K438&gt;=가정!$B$32,A438,"")</f>
        <v>433</v>
      </c>
      <c r="R438" s="7" t="str">
        <f aca="false">IF(MAX(0,I438)*(1-가정!$B$6)*'1억 상환'!$B$6&gt;='1억 상환'!$B$5,A438,"")</f>
        <v/>
      </c>
    </row>
    <row r="439" customFormat="false" ht="15" hidden="false" customHeight="false" outlineLevel="0" collapsed="false">
      <c r="A439" s="7" t="n">
        <v>434</v>
      </c>
      <c r="B439" s="7" t="n">
        <f aca="false">A439*가정!$B$10</f>
        <v>125860000</v>
      </c>
      <c r="C439" s="7" t="n">
        <f aca="false">가정!$B$34</f>
        <v>3590000</v>
      </c>
      <c r="D439" s="7" t="n">
        <f aca="false">ROUNDUP(MAX(0,A439-가정!$B$18)/가정!$B$19,0)</f>
        <v>8</v>
      </c>
      <c r="E439" s="7" t="n">
        <f aca="false">D439*가정!$B$20+ROUNDUP(A439/가정!$B$22,0)*가정!$B$21+ROUNDUP(A439/가정!$B$24,0)*가정!$B$23</f>
        <v>47000000</v>
      </c>
      <c r="F439" s="7" t="n">
        <f aca="false">A439*가정!$B$26+B439*가정!$B$27</f>
        <v>434000</v>
      </c>
      <c r="G439" s="7" t="n">
        <f aca="false">B439*가정!$B$28</f>
        <v>0</v>
      </c>
      <c r="H439" s="7" t="n">
        <f aca="false">B439-C439-E439-F439-G439</f>
        <v>74836000</v>
      </c>
      <c r="I439" s="7" t="n">
        <f aca="false">H439-IF(가정!$B$7=1,가정!$B$5,0)</f>
        <v>70836000</v>
      </c>
      <c r="J439" s="7" t="n">
        <f aca="false">MAX(0,I439)*가정!$B$6</f>
        <v>63752400</v>
      </c>
      <c r="K439" s="7" t="n">
        <f aca="false">가정!$B$5+J439</f>
        <v>67752400</v>
      </c>
      <c r="L439" s="7" t="n">
        <f aca="false">H439-K439</f>
        <v>7083600</v>
      </c>
      <c r="M439" s="8" t="n">
        <f aca="false">IF(B439=0,0,K439/B439)</f>
        <v>0.538315588749404</v>
      </c>
      <c r="N439" s="7" t="n">
        <f aca="false">K439/가정!$B$8</f>
        <v>338762</v>
      </c>
      <c r="O439" s="7" t="n">
        <f aca="false">IF(I439&gt;0,A439,"")</f>
        <v>434</v>
      </c>
      <c r="P439" s="7" t="n">
        <f aca="false">IF(L439&gt;=0,A439,"")</f>
        <v>434</v>
      </c>
      <c r="Q439" s="7" t="n">
        <f aca="false">IF(K439&gt;=가정!$B$32,A439,"")</f>
        <v>434</v>
      </c>
      <c r="R439" s="7" t="str">
        <f aca="false">IF(MAX(0,I439)*(1-가정!$B$6)*'1억 상환'!$B$6&gt;='1억 상환'!$B$5,A439,"")</f>
        <v/>
      </c>
    </row>
    <row r="440" customFormat="false" ht="15" hidden="false" customHeight="false" outlineLevel="0" collapsed="false">
      <c r="A440" s="7" t="n">
        <v>435</v>
      </c>
      <c r="B440" s="7" t="n">
        <f aca="false">A440*가정!$B$10</f>
        <v>126150000</v>
      </c>
      <c r="C440" s="7" t="n">
        <f aca="false">가정!$B$34</f>
        <v>3590000</v>
      </c>
      <c r="D440" s="7" t="n">
        <f aca="false">ROUNDUP(MAX(0,A440-가정!$B$18)/가정!$B$19,0)</f>
        <v>8</v>
      </c>
      <c r="E440" s="7" t="n">
        <f aca="false">D440*가정!$B$20+ROUNDUP(A440/가정!$B$22,0)*가정!$B$21+ROUNDUP(A440/가정!$B$24,0)*가정!$B$23</f>
        <v>47000000</v>
      </c>
      <c r="F440" s="7" t="n">
        <f aca="false">A440*가정!$B$26+B440*가정!$B$27</f>
        <v>435000</v>
      </c>
      <c r="G440" s="7" t="n">
        <f aca="false">B440*가정!$B$28</f>
        <v>0</v>
      </c>
      <c r="H440" s="7" t="n">
        <f aca="false">B440-C440-E440-F440-G440</f>
        <v>75125000</v>
      </c>
      <c r="I440" s="7" t="n">
        <f aca="false">H440-IF(가정!$B$7=1,가정!$B$5,0)</f>
        <v>71125000</v>
      </c>
      <c r="J440" s="7" t="n">
        <f aca="false">MAX(0,I440)*가정!$B$6</f>
        <v>64012500</v>
      </c>
      <c r="K440" s="7" t="n">
        <f aca="false">가정!$B$5+J440</f>
        <v>68012500</v>
      </c>
      <c r="L440" s="7" t="n">
        <f aca="false">H440-K440</f>
        <v>7112500</v>
      </c>
      <c r="M440" s="8" t="n">
        <f aca="false">IF(B440=0,0,K440/B440)</f>
        <v>0.53913991280222</v>
      </c>
      <c r="N440" s="7" t="n">
        <f aca="false">K440/가정!$B$8</f>
        <v>340062.5</v>
      </c>
      <c r="O440" s="7" t="n">
        <f aca="false">IF(I440&gt;0,A440,"")</f>
        <v>435</v>
      </c>
      <c r="P440" s="7" t="n">
        <f aca="false">IF(L440&gt;=0,A440,"")</f>
        <v>435</v>
      </c>
      <c r="Q440" s="7" t="n">
        <f aca="false">IF(K440&gt;=가정!$B$32,A440,"")</f>
        <v>435</v>
      </c>
      <c r="R440" s="7" t="str">
        <f aca="false">IF(MAX(0,I440)*(1-가정!$B$6)*'1억 상환'!$B$6&gt;='1억 상환'!$B$5,A440,"")</f>
        <v/>
      </c>
    </row>
    <row r="441" customFormat="false" ht="15" hidden="false" customHeight="false" outlineLevel="0" collapsed="false">
      <c r="A441" s="7" t="n">
        <v>436</v>
      </c>
      <c r="B441" s="7" t="n">
        <f aca="false">A441*가정!$B$10</f>
        <v>126440000</v>
      </c>
      <c r="C441" s="7" t="n">
        <f aca="false">가정!$B$34</f>
        <v>3590000</v>
      </c>
      <c r="D441" s="7" t="n">
        <f aca="false">ROUNDUP(MAX(0,A441-가정!$B$18)/가정!$B$19,0)</f>
        <v>8</v>
      </c>
      <c r="E441" s="7" t="n">
        <f aca="false">D441*가정!$B$20+ROUNDUP(A441/가정!$B$22,0)*가정!$B$21+ROUNDUP(A441/가정!$B$24,0)*가정!$B$23</f>
        <v>47000000</v>
      </c>
      <c r="F441" s="7" t="n">
        <f aca="false">A441*가정!$B$26+B441*가정!$B$27</f>
        <v>436000</v>
      </c>
      <c r="G441" s="7" t="n">
        <f aca="false">B441*가정!$B$28</f>
        <v>0</v>
      </c>
      <c r="H441" s="7" t="n">
        <f aca="false">B441-C441-E441-F441-G441</f>
        <v>75414000</v>
      </c>
      <c r="I441" s="7" t="n">
        <f aca="false">H441-IF(가정!$B$7=1,가정!$B$5,0)</f>
        <v>71414000</v>
      </c>
      <c r="J441" s="7" t="n">
        <f aca="false">MAX(0,I441)*가정!$B$6</f>
        <v>64272600</v>
      </c>
      <c r="K441" s="7" t="n">
        <f aca="false">가정!$B$5+J441</f>
        <v>68272600</v>
      </c>
      <c r="L441" s="7" t="n">
        <f aca="false">H441-K441</f>
        <v>7141400</v>
      </c>
      <c r="M441" s="8" t="n">
        <f aca="false">IF(B441=0,0,K441/B441)</f>
        <v>0.539960455552041</v>
      </c>
      <c r="N441" s="7" t="n">
        <f aca="false">K441/가정!$B$8</f>
        <v>341363</v>
      </c>
      <c r="O441" s="7" t="n">
        <f aca="false">IF(I441&gt;0,A441,"")</f>
        <v>436</v>
      </c>
      <c r="P441" s="7" t="n">
        <f aca="false">IF(L441&gt;=0,A441,"")</f>
        <v>436</v>
      </c>
      <c r="Q441" s="7" t="n">
        <f aca="false">IF(K441&gt;=가정!$B$32,A441,"")</f>
        <v>436</v>
      </c>
      <c r="R441" s="7" t="str">
        <f aca="false">IF(MAX(0,I441)*(1-가정!$B$6)*'1억 상환'!$B$6&gt;='1억 상환'!$B$5,A441,"")</f>
        <v/>
      </c>
    </row>
    <row r="442" customFormat="false" ht="15" hidden="false" customHeight="false" outlineLevel="0" collapsed="false">
      <c r="A442" s="7" t="n">
        <v>437</v>
      </c>
      <c r="B442" s="7" t="n">
        <f aca="false">A442*가정!$B$10</f>
        <v>126730000</v>
      </c>
      <c r="C442" s="7" t="n">
        <f aca="false">가정!$B$34</f>
        <v>3590000</v>
      </c>
      <c r="D442" s="7" t="n">
        <f aca="false">ROUNDUP(MAX(0,A442-가정!$B$18)/가정!$B$19,0)</f>
        <v>8</v>
      </c>
      <c r="E442" s="7" t="n">
        <f aca="false">D442*가정!$B$20+ROUNDUP(A442/가정!$B$22,0)*가정!$B$21+ROUNDUP(A442/가정!$B$24,0)*가정!$B$23</f>
        <v>47000000</v>
      </c>
      <c r="F442" s="7" t="n">
        <f aca="false">A442*가정!$B$26+B442*가정!$B$27</f>
        <v>437000</v>
      </c>
      <c r="G442" s="7" t="n">
        <f aca="false">B442*가정!$B$28</f>
        <v>0</v>
      </c>
      <c r="H442" s="7" t="n">
        <f aca="false">B442-C442-E442-F442-G442</f>
        <v>75703000</v>
      </c>
      <c r="I442" s="7" t="n">
        <f aca="false">H442-IF(가정!$B$7=1,가정!$B$5,0)</f>
        <v>71703000</v>
      </c>
      <c r="J442" s="7" t="n">
        <f aca="false">MAX(0,I442)*가정!$B$6</f>
        <v>64532700</v>
      </c>
      <c r="K442" s="7" t="n">
        <f aca="false">가정!$B$5+J442</f>
        <v>68532700</v>
      </c>
      <c r="L442" s="7" t="n">
        <f aca="false">H442-K442</f>
        <v>7170300</v>
      </c>
      <c r="M442" s="8" t="n">
        <f aca="false">IF(B442=0,0,K442/B442)</f>
        <v>0.540777242957469</v>
      </c>
      <c r="N442" s="7" t="n">
        <f aca="false">K442/가정!$B$8</f>
        <v>342663.5</v>
      </c>
      <c r="O442" s="7" t="n">
        <f aca="false">IF(I442&gt;0,A442,"")</f>
        <v>437</v>
      </c>
      <c r="P442" s="7" t="n">
        <f aca="false">IF(L442&gt;=0,A442,"")</f>
        <v>437</v>
      </c>
      <c r="Q442" s="7" t="n">
        <f aca="false">IF(K442&gt;=가정!$B$32,A442,"")</f>
        <v>437</v>
      </c>
      <c r="R442" s="7" t="str">
        <f aca="false">IF(MAX(0,I442)*(1-가정!$B$6)*'1억 상환'!$B$6&gt;='1억 상환'!$B$5,A442,"")</f>
        <v/>
      </c>
    </row>
    <row r="443" customFormat="false" ht="15" hidden="false" customHeight="false" outlineLevel="0" collapsed="false">
      <c r="A443" s="7" t="n">
        <v>438</v>
      </c>
      <c r="B443" s="7" t="n">
        <f aca="false">A443*가정!$B$10</f>
        <v>127020000</v>
      </c>
      <c r="C443" s="7" t="n">
        <f aca="false">가정!$B$34</f>
        <v>3590000</v>
      </c>
      <c r="D443" s="7" t="n">
        <f aca="false">ROUNDUP(MAX(0,A443-가정!$B$18)/가정!$B$19,0)</f>
        <v>8</v>
      </c>
      <c r="E443" s="7" t="n">
        <f aca="false">D443*가정!$B$20+ROUNDUP(A443/가정!$B$22,0)*가정!$B$21+ROUNDUP(A443/가정!$B$24,0)*가정!$B$23</f>
        <v>47000000</v>
      </c>
      <c r="F443" s="7" t="n">
        <f aca="false">A443*가정!$B$26+B443*가정!$B$27</f>
        <v>438000</v>
      </c>
      <c r="G443" s="7" t="n">
        <f aca="false">B443*가정!$B$28</f>
        <v>0</v>
      </c>
      <c r="H443" s="7" t="n">
        <f aca="false">B443-C443-E443-F443-G443</f>
        <v>75992000</v>
      </c>
      <c r="I443" s="7" t="n">
        <f aca="false">H443-IF(가정!$B$7=1,가정!$B$5,0)</f>
        <v>71992000</v>
      </c>
      <c r="J443" s="7" t="n">
        <f aca="false">MAX(0,I443)*가정!$B$6</f>
        <v>64792800</v>
      </c>
      <c r="K443" s="7" t="n">
        <f aca="false">가정!$B$5+J443</f>
        <v>68792800</v>
      </c>
      <c r="L443" s="7" t="n">
        <f aca="false">H443-K443</f>
        <v>7199200</v>
      </c>
      <c r="M443" s="8" t="n">
        <f aca="false">IF(B443=0,0,K443/B443)</f>
        <v>0.541590300740041</v>
      </c>
      <c r="N443" s="7" t="n">
        <f aca="false">K443/가정!$B$8</f>
        <v>343964</v>
      </c>
      <c r="O443" s="7" t="n">
        <f aca="false">IF(I443&gt;0,A443,"")</f>
        <v>438</v>
      </c>
      <c r="P443" s="7" t="n">
        <f aca="false">IF(L443&gt;=0,A443,"")</f>
        <v>438</v>
      </c>
      <c r="Q443" s="7" t="n">
        <f aca="false">IF(K443&gt;=가정!$B$32,A443,"")</f>
        <v>438</v>
      </c>
      <c r="R443" s="7" t="str">
        <f aca="false">IF(MAX(0,I443)*(1-가정!$B$6)*'1억 상환'!$B$6&gt;='1억 상환'!$B$5,A443,"")</f>
        <v/>
      </c>
    </row>
    <row r="444" customFormat="false" ht="15" hidden="false" customHeight="false" outlineLevel="0" collapsed="false">
      <c r="A444" s="7" t="n">
        <v>439</v>
      </c>
      <c r="B444" s="7" t="n">
        <f aca="false">A444*가정!$B$10</f>
        <v>127310000</v>
      </c>
      <c r="C444" s="7" t="n">
        <f aca="false">가정!$B$34</f>
        <v>3590000</v>
      </c>
      <c r="D444" s="7" t="n">
        <f aca="false">ROUNDUP(MAX(0,A444-가정!$B$18)/가정!$B$19,0)</f>
        <v>8</v>
      </c>
      <c r="E444" s="7" t="n">
        <f aca="false">D444*가정!$B$20+ROUNDUP(A444/가정!$B$22,0)*가정!$B$21+ROUNDUP(A444/가정!$B$24,0)*가정!$B$23</f>
        <v>47000000</v>
      </c>
      <c r="F444" s="7" t="n">
        <f aca="false">A444*가정!$B$26+B444*가정!$B$27</f>
        <v>439000</v>
      </c>
      <c r="G444" s="7" t="n">
        <f aca="false">B444*가정!$B$28</f>
        <v>0</v>
      </c>
      <c r="H444" s="7" t="n">
        <f aca="false">B444-C444-E444-F444-G444</f>
        <v>76281000</v>
      </c>
      <c r="I444" s="7" t="n">
        <f aca="false">H444-IF(가정!$B$7=1,가정!$B$5,0)</f>
        <v>72281000</v>
      </c>
      <c r="J444" s="7" t="n">
        <f aca="false">MAX(0,I444)*가정!$B$6</f>
        <v>65052900</v>
      </c>
      <c r="K444" s="7" t="n">
        <f aca="false">가정!$B$5+J444</f>
        <v>69052900</v>
      </c>
      <c r="L444" s="7" t="n">
        <f aca="false">H444-K444</f>
        <v>7228100</v>
      </c>
      <c r="M444" s="8" t="n">
        <f aca="false">IF(B444=0,0,K444/B444)</f>
        <v>0.54239965438693</v>
      </c>
      <c r="N444" s="7" t="n">
        <f aca="false">K444/가정!$B$8</f>
        <v>345264.5</v>
      </c>
      <c r="O444" s="7" t="n">
        <f aca="false">IF(I444&gt;0,A444,"")</f>
        <v>439</v>
      </c>
      <c r="P444" s="7" t="n">
        <f aca="false">IF(L444&gt;=0,A444,"")</f>
        <v>439</v>
      </c>
      <c r="Q444" s="7" t="n">
        <f aca="false">IF(K444&gt;=가정!$B$32,A444,"")</f>
        <v>439</v>
      </c>
      <c r="R444" s="7" t="str">
        <f aca="false">IF(MAX(0,I444)*(1-가정!$B$6)*'1억 상환'!$B$6&gt;='1억 상환'!$B$5,A444,"")</f>
        <v/>
      </c>
    </row>
    <row r="445" customFormat="false" ht="15" hidden="false" customHeight="false" outlineLevel="0" collapsed="false">
      <c r="A445" s="7" t="n">
        <v>440</v>
      </c>
      <c r="B445" s="7" t="n">
        <f aca="false">A445*가정!$B$10</f>
        <v>127600000</v>
      </c>
      <c r="C445" s="7" t="n">
        <f aca="false">가정!$B$34</f>
        <v>3590000</v>
      </c>
      <c r="D445" s="7" t="n">
        <f aca="false">ROUNDUP(MAX(0,A445-가정!$B$18)/가정!$B$19,0)</f>
        <v>8</v>
      </c>
      <c r="E445" s="7" t="n">
        <f aca="false">D445*가정!$B$20+ROUNDUP(A445/가정!$B$22,0)*가정!$B$21+ROUNDUP(A445/가정!$B$24,0)*가정!$B$23</f>
        <v>47000000</v>
      </c>
      <c r="F445" s="7" t="n">
        <f aca="false">A445*가정!$B$26+B445*가정!$B$27</f>
        <v>440000</v>
      </c>
      <c r="G445" s="7" t="n">
        <f aca="false">B445*가정!$B$28</f>
        <v>0</v>
      </c>
      <c r="H445" s="7" t="n">
        <f aca="false">B445-C445-E445-F445-G445</f>
        <v>76570000</v>
      </c>
      <c r="I445" s="7" t="n">
        <f aca="false">H445-IF(가정!$B$7=1,가정!$B$5,0)</f>
        <v>72570000</v>
      </c>
      <c r="J445" s="7" t="n">
        <f aca="false">MAX(0,I445)*가정!$B$6</f>
        <v>65313000</v>
      </c>
      <c r="K445" s="7" t="n">
        <f aca="false">가정!$B$5+J445</f>
        <v>69313000</v>
      </c>
      <c r="L445" s="7" t="n">
        <f aca="false">H445-K445</f>
        <v>7257000</v>
      </c>
      <c r="M445" s="8" t="n">
        <f aca="false">IF(B445=0,0,K445/B445)</f>
        <v>0.543205329153605</v>
      </c>
      <c r="N445" s="7" t="n">
        <f aca="false">K445/가정!$B$8</f>
        <v>346565</v>
      </c>
      <c r="O445" s="7" t="n">
        <f aca="false">IF(I445&gt;0,A445,"")</f>
        <v>440</v>
      </c>
      <c r="P445" s="7" t="n">
        <f aca="false">IF(L445&gt;=0,A445,"")</f>
        <v>440</v>
      </c>
      <c r="Q445" s="7" t="n">
        <f aca="false">IF(K445&gt;=가정!$B$32,A445,"")</f>
        <v>440</v>
      </c>
      <c r="R445" s="7" t="str">
        <f aca="false">IF(MAX(0,I445)*(1-가정!$B$6)*'1억 상환'!$B$6&gt;='1억 상환'!$B$5,A445,"")</f>
        <v/>
      </c>
    </row>
    <row r="446" customFormat="false" ht="15" hidden="false" customHeight="false" outlineLevel="0" collapsed="false">
      <c r="A446" s="7" t="n">
        <v>441</v>
      </c>
      <c r="B446" s="7" t="n">
        <f aca="false">A446*가정!$B$10</f>
        <v>127890000</v>
      </c>
      <c r="C446" s="7" t="n">
        <f aca="false">가정!$B$34</f>
        <v>3590000</v>
      </c>
      <c r="D446" s="7" t="n">
        <f aca="false">ROUNDUP(MAX(0,A446-가정!$B$18)/가정!$B$19,0)</f>
        <v>8</v>
      </c>
      <c r="E446" s="7" t="n">
        <f aca="false">D446*가정!$B$20+ROUNDUP(A446/가정!$B$22,0)*가정!$B$21+ROUNDUP(A446/가정!$B$24,0)*가정!$B$23</f>
        <v>47000000</v>
      </c>
      <c r="F446" s="7" t="n">
        <f aca="false">A446*가정!$B$26+B446*가정!$B$27</f>
        <v>441000</v>
      </c>
      <c r="G446" s="7" t="n">
        <f aca="false">B446*가정!$B$28</f>
        <v>0</v>
      </c>
      <c r="H446" s="7" t="n">
        <f aca="false">B446-C446-E446-F446-G446</f>
        <v>76859000</v>
      </c>
      <c r="I446" s="7" t="n">
        <f aca="false">H446-IF(가정!$B$7=1,가정!$B$5,0)</f>
        <v>72859000</v>
      </c>
      <c r="J446" s="7" t="n">
        <f aca="false">MAX(0,I446)*가정!$B$6</f>
        <v>65573100</v>
      </c>
      <c r="K446" s="7" t="n">
        <f aca="false">가정!$B$5+J446</f>
        <v>69573100</v>
      </c>
      <c r="L446" s="7" t="n">
        <f aca="false">H446-K446</f>
        <v>7285900</v>
      </c>
      <c r="M446" s="8" t="n">
        <f aca="false">IF(B446=0,0,K446/B446)</f>
        <v>0.544007350066463</v>
      </c>
      <c r="N446" s="7" t="n">
        <f aca="false">K446/가정!$B$8</f>
        <v>347865.5</v>
      </c>
      <c r="O446" s="7" t="n">
        <f aca="false">IF(I446&gt;0,A446,"")</f>
        <v>441</v>
      </c>
      <c r="P446" s="7" t="n">
        <f aca="false">IF(L446&gt;=0,A446,"")</f>
        <v>441</v>
      </c>
      <c r="Q446" s="7" t="n">
        <f aca="false">IF(K446&gt;=가정!$B$32,A446,"")</f>
        <v>441</v>
      </c>
      <c r="R446" s="7" t="str">
        <f aca="false">IF(MAX(0,I446)*(1-가정!$B$6)*'1억 상환'!$B$6&gt;='1억 상환'!$B$5,A446,"")</f>
        <v/>
      </c>
    </row>
    <row r="447" customFormat="false" ht="15" hidden="false" customHeight="false" outlineLevel="0" collapsed="false">
      <c r="A447" s="7" t="n">
        <v>442</v>
      </c>
      <c r="B447" s="7" t="n">
        <f aca="false">A447*가정!$B$10</f>
        <v>128180000</v>
      </c>
      <c r="C447" s="7" t="n">
        <f aca="false">가정!$B$34</f>
        <v>3590000</v>
      </c>
      <c r="D447" s="7" t="n">
        <f aca="false">ROUNDUP(MAX(0,A447-가정!$B$18)/가정!$B$19,0)</f>
        <v>8</v>
      </c>
      <c r="E447" s="7" t="n">
        <f aca="false">D447*가정!$B$20+ROUNDUP(A447/가정!$B$22,0)*가정!$B$21+ROUNDUP(A447/가정!$B$24,0)*가정!$B$23</f>
        <v>47000000</v>
      </c>
      <c r="F447" s="7" t="n">
        <f aca="false">A447*가정!$B$26+B447*가정!$B$27</f>
        <v>442000</v>
      </c>
      <c r="G447" s="7" t="n">
        <f aca="false">B447*가정!$B$28</f>
        <v>0</v>
      </c>
      <c r="H447" s="7" t="n">
        <f aca="false">B447-C447-E447-F447-G447</f>
        <v>77148000</v>
      </c>
      <c r="I447" s="7" t="n">
        <f aca="false">H447-IF(가정!$B$7=1,가정!$B$5,0)</f>
        <v>73148000</v>
      </c>
      <c r="J447" s="7" t="n">
        <f aca="false">MAX(0,I447)*가정!$B$6</f>
        <v>65833200</v>
      </c>
      <c r="K447" s="7" t="n">
        <f aca="false">가정!$B$5+J447</f>
        <v>69833200</v>
      </c>
      <c r="L447" s="7" t="n">
        <f aca="false">H447-K447</f>
        <v>7314800</v>
      </c>
      <c r="M447" s="8" t="n">
        <f aca="false">IF(B447=0,0,K447/B447)</f>
        <v>0.544805741925417</v>
      </c>
      <c r="N447" s="7" t="n">
        <f aca="false">K447/가정!$B$8</f>
        <v>349166</v>
      </c>
      <c r="O447" s="7" t="n">
        <f aca="false">IF(I447&gt;0,A447,"")</f>
        <v>442</v>
      </c>
      <c r="P447" s="7" t="n">
        <f aca="false">IF(L447&gt;=0,A447,"")</f>
        <v>442</v>
      </c>
      <c r="Q447" s="7" t="n">
        <f aca="false">IF(K447&gt;=가정!$B$32,A447,"")</f>
        <v>442</v>
      </c>
      <c r="R447" s="7" t="str">
        <f aca="false">IF(MAX(0,I447)*(1-가정!$B$6)*'1억 상환'!$B$6&gt;='1억 상환'!$B$5,A447,"")</f>
        <v/>
      </c>
    </row>
    <row r="448" customFormat="false" ht="15" hidden="false" customHeight="false" outlineLevel="0" collapsed="false">
      <c r="A448" s="7" t="n">
        <v>443</v>
      </c>
      <c r="B448" s="7" t="n">
        <f aca="false">A448*가정!$B$10</f>
        <v>128470000</v>
      </c>
      <c r="C448" s="7" t="n">
        <f aca="false">가정!$B$34</f>
        <v>3590000</v>
      </c>
      <c r="D448" s="7" t="n">
        <f aca="false">ROUNDUP(MAX(0,A448-가정!$B$18)/가정!$B$19,0)</f>
        <v>8</v>
      </c>
      <c r="E448" s="7" t="n">
        <f aca="false">D448*가정!$B$20+ROUNDUP(A448/가정!$B$22,0)*가정!$B$21+ROUNDUP(A448/가정!$B$24,0)*가정!$B$23</f>
        <v>47000000</v>
      </c>
      <c r="F448" s="7" t="n">
        <f aca="false">A448*가정!$B$26+B448*가정!$B$27</f>
        <v>443000</v>
      </c>
      <c r="G448" s="7" t="n">
        <f aca="false">B448*가정!$B$28</f>
        <v>0</v>
      </c>
      <c r="H448" s="7" t="n">
        <f aca="false">B448-C448-E448-F448-G448</f>
        <v>77437000</v>
      </c>
      <c r="I448" s="7" t="n">
        <f aca="false">H448-IF(가정!$B$7=1,가정!$B$5,0)</f>
        <v>73437000</v>
      </c>
      <c r="J448" s="7" t="n">
        <f aca="false">MAX(0,I448)*가정!$B$6</f>
        <v>66093300</v>
      </c>
      <c r="K448" s="7" t="n">
        <f aca="false">가정!$B$5+J448</f>
        <v>70093300</v>
      </c>
      <c r="L448" s="7" t="n">
        <f aca="false">H448-K448</f>
        <v>7343700</v>
      </c>
      <c r="M448" s="8" t="n">
        <f aca="false">IF(B448=0,0,K448/B448)</f>
        <v>0.545600529306453</v>
      </c>
      <c r="N448" s="7" t="n">
        <f aca="false">K448/가정!$B$8</f>
        <v>350466.5</v>
      </c>
      <c r="O448" s="7" t="n">
        <f aca="false">IF(I448&gt;0,A448,"")</f>
        <v>443</v>
      </c>
      <c r="P448" s="7" t="n">
        <f aca="false">IF(L448&gt;=0,A448,"")</f>
        <v>443</v>
      </c>
      <c r="Q448" s="7" t="n">
        <f aca="false">IF(K448&gt;=가정!$B$32,A448,"")</f>
        <v>443</v>
      </c>
      <c r="R448" s="7" t="str">
        <f aca="false">IF(MAX(0,I448)*(1-가정!$B$6)*'1억 상환'!$B$6&gt;='1억 상환'!$B$5,A448,"")</f>
        <v/>
      </c>
    </row>
    <row r="449" customFormat="false" ht="15" hidden="false" customHeight="false" outlineLevel="0" collapsed="false">
      <c r="A449" s="7" t="n">
        <v>444</v>
      </c>
      <c r="B449" s="7" t="n">
        <f aca="false">A449*가정!$B$10</f>
        <v>128760000</v>
      </c>
      <c r="C449" s="7" t="n">
        <f aca="false">가정!$B$34</f>
        <v>3590000</v>
      </c>
      <c r="D449" s="7" t="n">
        <f aca="false">ROUNDUP(MAX(0,A449-가정!$B$18)/가정!$B$19,0)</f>
        <v>8</v>
      </c>
      <c r="E449" s="7" t="n">
        <f aca="false">D449*가정!$B$20+ROUNDUP(A449/가정!$B$22,0)*가정!$B$21+ROUNDUP(A449/가정!$B$24,0)*가정!$B$23</f>
        <v>47000000</v>
      </c>
      <c r="F449" s="7" t="n">
        <f aca="false">A449*가정!$B$26+B449*가정!$B$27</f>
        <v>444000</v>
      </c>
      <c r="G449" s="7" t="n">
        <f aca="false">B449*가정!$B$28</f>
        <v>0</v>
      </c>
      <c r="H449" s="7" t="n">
        <f aca="false">B449-C449-E449-F449-G449</f>
        <v>77726000</v>
      </c>
      <c r="I449" s="7" t="n">
        <f aca="false">H449-IF(가정!$B$7=1,가정!$B$5,0)</f>
        <v>73726000</v>
      </c>
      <c r="J449" s="7" t="n">
        <f aca="false">MAX(0,I449)*가정!$B$6</f>
        <v>66353400</v>
      </c>
      <c r="K449" s="7" t="n">
        <f aca="false">가정!$B$5+J449</f>
        <v>70353400</v>
      </c>
      <c r="L449" s="7" t="n">
        <f aca="false">H449-K449</f>
        <v>7372600</v>
      </c>
      <c r="M449" s="8" t="n">
        <f aca="false">IF(B449=0,0,K449/B449)</f>
        <v>0.54639173656415</v>
      </c>
      <c r="N449" s="7" t="n">
        <f aca="false">K449/가정!$B$8</f>
        <v>351767</v>
      </c>
      <c r="O449" s="7" t="n">
        <f aca="false">IF(I449&gt;0,A449,"")</f>
        <v>444</v>
      </c>
      <c r="P449" s="7" t="n">
        <f aca="false">IF(L449&gt;=0,A449,"")</f>
        <v>444</v>
      </c>
      <c r="Q449" s="7" t="n">
        <f aca="false">IF(K449&gt;=가정!$B$32,A449,"")</f>
        <v>444</v>
      </c>
      <c r="R449" s="7" t="str">
        <f aca="false">IF(MAX(0,I449)*(1-가정!$B$6)*'1억 상환'!$B$6&gt;='1억 상환'!$B$5,A449,"")</f>
        <v/>
      </c>
    </row>
    <row r="450" customFormat="false" ht="15" hidden="false" customHeight="false" outlineLevel="0" collapsed="false">
      <c r="A450" s="7" t="n">
        <v>445</v>
      </c>
      <c r="B450" s="7" t="n">
        <f aca="false">A450*가정!$B$10</f>
        <v>129050000</v>
      </c>
      <c r="C450" s="7" t="n">
        <f aca="false">가정!$B$34</f>
        <v>3590000</v>
      </c>
      <c r="D450" s="7" t="n">
        <f aca="false">ROUNDUP(MAX(0,A450-가정!$B$18)/가정!$B$19,0)</f>
        <v>8</v>
      </c>
      <c r="E450" s="7" t="n">
        <f aca="false">D450*가정!$B$20+ROUNDUP(A450/가정!$B$22,0)*가정!$B$21+ROUNDUP(A450/가정!$B$24,0)*가정!$B$23</f>
        <v>47000000</v>
      </c>
      <c r="F450" s="7" t="n">
        <f aca="false">A450*가정!$B$26+B450*가정!$B$27</f>
        <v>445000</v>
      </c>
      <c r="G450" s="7" t="n">
        <f aca="false">B450*가정!$B$28</f>
        <v>0</v>
      </c>
      <c r="H450" s="7" t="n">
        <f aca="false">B450-C450-E450-F450-G450</f>
        <v>78015000</v>
      </c>
      <c r="I450" s="7" t="n">
        <f aca="false">H450-IF(가정!$B$7=1,가정!$B$5,0)</f>
        <v>74015000</v>
      </c>
      <c r="J450" s="7" t="n">
        <f aca="false">MAX(0,I450)*가정!$B$6</f>
        <v>66613500</v>
      </c>
      <c r="K450" s="7" t="n">
        <f aca="false">가정!$B$5+J450</f>
        <v>70613500</v>
      </c>
      <c r="L450" s="7" t="n">
        <f aca="false">H450-K450</f>
        <v>7401500</v>
      </c>
      <c r="M450" s="8" t="n">
        <f aca="false">IF(B450=0,0,K450/B450)</f>
        <v>0.547179387834173</v>
      </c>
      <c r="N450" s="7" t="n">
        <f aca="false">K450/가정!$B$8</f>
        <v>353067.5</v>
      </c>
      <c r="O450" s="7" t="n">
        <f aca="false">IF(I450&gt;0,A450,"")</f>
        <v>445</v>
      </c>
      <c r="P450" s="7" t="n">
        <f aca="false">IF(L450&gt;=0,A450,"")</f>
        <v>445</v>
      </c>
      <c r="Q450" s="7" t="n">
        <f aca="false">IF(K450&gt;=가정!$B$32,A450,"")</f>
        <v>445</v>
      </c>
      <c r="R450" s="7" t="str">
        <f aca="false">IF(MAX(0,I450)*(1-가정!$B$6)*'1억 상환'!$B$6&gt;='1억 상환'!$B$5,A450,"")</f>
        <v/>
      </c>
    </row>
    <row r="451" customFormat="false" ht="15" hidden="false" customHeight="false" outlineLevel="0" collapsed="false">
      <c r="A451" s="7" t="n">
        <v>446</v>
      </c>
      <c r="B451" s="7" t="n">
        <f aca="false">A451*가정!$B$10</f>
        <v>129340000</v>
      </c>
      <c r="C451" s="7" t="n">
        <f aca="false">가정!$B$34</f>
        <v>3590000</v>
      </c>
      <c r="D451" s="7" t="n">
        <f aca="false">ROUNDUP(MAX(0,A451-가정!$B$18)/가정!$B$19,0)</f>
        <v>8</v>
      </c>
      <c r="E451" s="7" t="n">
        <f aca="false">D451*가정!$B$20+ROUNDUP(A451/가정!$B$22,0)*가정!$B$21+ROUNDUP(A451/가정!$B$24,0)*가정!$B$23</f>
        <v>47000000</v>
      </c>
      <c r="F451" s="7" t="n">
        <f aca="false">A451*가정!$B$26+B451*가정!$B$27</f>
        <v>446000</v>
      </c>
      <c r="G451" s="7" t="n">
        <f aca="false">B451*가정!$B$28</f>
        <v>0</v>
      </c>
      <c r="H451" s="7" t="n">
        <f aca="false">B451-C451-E451-F451-G451</f>
        <v>78304000</v>
      </c>
      <c r="I451" s="7" t="n">
        <f aca="false">H451-IF(가정!$B$7=1,가정!$B$5,0)</f>
        <v>74304000</v>
      </c>
      <c r="J451" s="7" t="n">
        <f aca="false">MAX(0,I451)*가정!$B$6</f>
        <v>66873600</v>
      </c>
      <c r="K451" s="7" t="n">
        <f aca="false">가정!$B$5+J451</f>
        <v>70873600</v>
      </c>
      <c r="L451" s="7" t="n">
        <f aca="false">H451-K451</f>
        <v>7430400</v>
      </c>
      <c r="M451" s="8" t="n">
        <f aca="false">IF(B451=0,0,K451/B451)</f>
        <v>0.54796350703572</v>
      </c>
      <c r="N451" s="7" t="n">
        <f aca="false">K451/가정!$B$8</f>
        <v>354368</v>
      </c>
      <c r="O451" s="7" t="n">
        <f aca="false">IF(I451&gt;0,A451,"")</f>
        <v>446</v>
      </c>
      <c r="P451" s="7" t="n">
        <f aca="false">IF(L451&gt;=0,A451,"")</f>
        <v>446</v>
      </c>
      <c r="Q451" s="7" t="n">
        <f aca="false">IF(K451&gt;=가정!$B$32,A451,"")</f>
        <v>446</v>
      </c>
      <c r="R451" s="7" t="str">
        <f aca="false">IF(MAX(0,I451)*(1-가정!$B$6)*'1억 상환'!$B$6&gt;='1억 상환'!$B$5,A451,"")</f>
        <v/>
      </c>
    </row>
    <row r="452" customFormat="false" ht="15" hidden="false" customHeight="false" outlineLevel="0" collapsed="false">
      <c r="A452" s="7" t="n">
        <v>447</v>
      </c>
      <c r="B452" s="7" t="n">
        <f aca="false">A452*가정!$B$10</f>
        <v>129630000</v>
      </c>
      <c r="C452" s="7" t="n">
        <f aca="false">가정!$B$34</f>
        <v>3590000</v>
      </c>
      <c r="D452" s="7" t="n">
        <f aca="false">ROUNDUP(MAX(0,A452-가정!$B$18)/가정!$B$19,0)</f>
        <v>8</v>
      </c>
      <c r="E452" s="7" t="n">
        <f aca="false">D452*가정!$B$20+ROUNDUP(A452/가정!$B$22,0)*가정!$B$21+ROUNDUP(A452/가정!$B$24,0)*가정!$B$23</f>
        <v>47000000</v>
      </c>
      <c r="F452" s="7" t="n">
        <f aca="false">A452*가정!$B$26+B452*가정!$B$27</f>
        <v>447000</v>
      </c>
      <c r="G452" s="7" t="n">
        <f aca="false">B452*가정!$B$28</f>
        <v>0</v>
      </c>
      <c r="H452" s="7" t="n">
        <f aca="false">B452-C452-E452-F452-G452</f>
        <v>78593000</v>
      </c>
      <c r="I452" s="7" t="n">
        <f aca="false">H452-IF(가정!$B$7=1,가정!$B$5,0)</f>
        <v>74593000</v>
      </c>
      <c r="J452" s="7" t="n">
        <f aca="false">MAX(0,I452)*가정!$B$6</f>
        <v>67133700</v>
      </c>
      <c r="K452" s="7" t="n">
        <f aca="false">가정!$B$5+J452</f>
        <v>71133700</v>
      </c>
      <c r="L452" s="7" t="n">
        <f aca="false">H452-K452</f>
        <v>7459300</v>
      </c>
      <c r="M452" s="8" t="n">
        <f aca="false">IF(B452=0,0,K452/B452)</f>
        <v>0.548744117873949</v>
      </c>
      <c r="N452" s="7" t="n">
        <f aca="false">K452/가정!$B$8</f>
        <v>355668.5</v>
      </c>
      <c r="O452" s="7" t="n">
        <f aca="false">IF(I452&gt;0,A452,"")</f>
        <v>447</v>
      </c>
      <c r="P452" s="7" t="n">
        <f aca="false">IF(L452&gt;=0,A452,"")</f>
        <v>447</v>
      </c>
      <c r="Q452" s="7" t="n">
        <f aca="false">IF(K452&gt;=가정!$B$32,A452,"")</f>
        <v>447</v>
      </c>
      <c r="R452" s="7" t="str">
        <f aca="false">IF(MAX(0,I452)*(1-가정!$B$6)*'1억 상환'!$B$6&gt;='1억 상환'!$B$5,A452,"")</f>
        <v/>
      </c>
    </row>
    <row r="453" customFormat="false" ht="15" hidden="false" customHeight="false" outlineLevel="0" collapsed="false">
      <c r="A453" s="7" t="n">
        <v>448</v>
      </c>
      <c r="B453" s="7" t="n">
        <f aca="false">A453*가정!$B$10</f>
        <v>129920000</v>
      </c>
      <c r="C453" s="7" t="n">
        <f aca="false">가정!$B$34</f>
        <v>3590000</v>
      </c>
      <c r="D453" s="7" t="n">
        <f aca="false">ROUNDUP(MAX(0,A453-가정!$B$18)/가정!$B$19,0)</f>
        <v>8</v>
      </c>
      <c r="E453" s="7" t="n">
        <f aca="false">D453*가정!$B$20+ROUNDUP(A453/가정!$B$22,0)*가정!$B$21+ROUNDUP(A453/가정!$B$24,0)*가정!$B$23</f>
        <v>47000000</v>
      </c>
      <c r="F453" s="7" t="n">
        <f aca="false">A453*가정!$B$26+B453*가정!$B$27</f>
        <v>448000</v>
      </c>
      <c r="G453" s="7" t="n">
        <f aca="false">B453*가정!$B$28</f>
        <v>0</v>
      </c>
      <c r="H453" s="7" t="n">
        <f aca="false">B453-C453-E453-F453-G453</f>
        <v>78882000</v>
      </c>
      <c r="I453" s="7" t="n">
        <f aca="false">H453-IF(가정!$B$7=1,가정!$B$5,0)</f>
        <v>74882000</v>
      </c>
      <c r="J453" s="7" t="n">
        <f aca="false">MAX(0,I453)*가정!$B$6</f>
        <v>67393800</v>
      </c>
      <c r="K453" s="7" t="n">
        <f aca="false">가정!$B$5+J453</f>
        <v>71393800</v>
      </c>
      <c r="L453" s="7" t="n">
        <f aca="false">H453-K453</f>
        <v>7488200</v>
      </c>
      <c r="M453" s="8" t="n">
        <f aca="false">IF(B453=0,0,K453/B453)</f>
        <v>0.549521243842365</v>
      </c>
      <c r="N453" s="7" t="n">
        <f aca="false">K453/가정!$B$8</f>
        <v>356969</v>
      </c>
      <c r="O453" s="7" t="n">
        <f aca="false">IF(I453&gt;0,A453,"")</f>
        <v>448</v>
      </c>
      <c r="P453" s="7" t="n">
        <f aca="false">IF(L453&gt;=0,A453,"")</f>
        <v>448</v>
      </c>
      <c r="Q453" s="7" t="n">
        <f aca="false">IF(K453&gt;=가정!$B$32,A453,"")</f>
        <v>448</v>
      </c>
      <c r="R453" s="7" t="str">
        <f aca="false">IF(MAX(0,I453)*(1-가정!$B$6)*'1억 상환'!$B$6&gt;='1억 상환'!$B$5,A453,"")</f>
        <v/>
      </c>
    </row>
    <row r="454" customFormat="false" ht="15" hidden="false" customHeight="false" outlineLevel="0" collapsed="false">
      <c r="A454" s="7" t="n">
        <v>449</v>
      </c>
      <c r="B454" s="7" t="n">
        <f aca="false">A454*가정!$B$10</f>
        <v>130210000</v>
      </c>
      <c r="C454" s="7" t="n">
        <f aca="false">가정!$B$34</f>
        <v>3590000</v>
      </c>
      <c r="D454" s="7" t="n">
        <f aca="false">ROUNDUP(MAX(0,A454-가정!$B$18)/가정!$B$19,0)</f>
        <v>8</v>
      </c>
      <c r="E454" s="7" t="n">
        <f aca="false">D454*가정!$B$20+ROUNDUP(A454/가정!$B$22,0)*가정!$B$21+ROUNDUP(A454/가정!$B$24,0)*가정!$B$23</f>
        <v>47000000</v>
      </c>
      <c r="F454" s="7" t="n">
        <f aca="false">A454*가정!$B$26+B454*가정!$B$27</f>
        <v>449000</v>
      </c>
      <c r="G454" s="7" t="n">
        <f aca="false">B454*가정!$B$28</f>
        <v>0</v>
      </c>
      <c r="H454" s="7" t="n">
        <f aca="false">B454-C454-E454-F454-G454</f>
        <v>79171000</v>
      </c>
      <c r="I454" s="7" t="n">
        <f aca="false">H454-IF(가정!$B$7=1,가정!$B$5,0)</f>
        <v>75171000</v>
      </c>
      <c r="J454" s="7" t="n">
        <f aca="false">MAX(0,I454)*가정!$B$6</f>
        <v>67653900</v>
      </c>
      <c r="K454" s="7" t="n">
        <f aca="false">가정!$B$5+J454</f>
        <v>71653900</v>
      </c>
      <c r="L454" s="7" t="n">
        <f aca="false">H454-K454</f>
        <v>7517100</v>
      </c>
      <c r="M454" s="8" t="n">
        <f aca="false">IF(B454=0,0,K454/B454)</f>
        <v>0.550294908225175</v>
      </c>
      <c r="N454" s="7" t="n">
        <f aca="false">K454/가정!$B$8</f>
        <v>358269.5</v>
      </c>
      <c r="O454" s="7" t="n">
        <f aca="false">IF(I454&gt;0,A454,"")</f>
        <v>449</v>
      </c>
      <c r="P454" s="7" t="n">
        <f aca="false">IF(L454&gt;=0,A454,"")</f>
        <v>449</v>
      </c>
      <c r="Q454" s="7" t="n">
        <f aca="false">IF(K454&gt;=가정!$B$32,A454,"")</f>
        <v>449</v>
      </c>
      <c r="R454" s="7" t="str">
        <f aca="false">IF(MAX(0,I454)*(1-가정!$B$6)*'1억 상환'!$B$6&gt;='1억 상환'!$B$5,A454,"")</f>
        <v/>
      </c>
    </row>
    <row r="455" customFormat="false" ht="15" hidden="false" customHeight="false" outlineLevel="0" collapsed="false">
      <c r="A455" s="7" t="n">
        <v>450</v>
      </c>
      <c r="B455" s="7" t="n">
        <f aca="false">A455*가정!$B$10</f>
        <v>130500000</v>
      </c>
      <c r="C455" s="7" t="n">
        <f aca="false">가정!$B$34</f>
        <v>3590000</v>
      </c>
      <c r="D455" s="7" t="n">
        <f aca="false">ROUNDUP(MAX(0,A455-가정!$B$18)/가정!$B$19,0)</f>
        <v>8</v>
      </c>
      <c r="E455" s="7" t="n">
        <f aca="false">D455*가정!$B$20+ROUNDUP(A455/가정!$B$22,0)*가정!$B$21+ROUNDUP(A455/가정!$B$24,0)*가정!$B$23</f>
        <v>47000000</v>
      </c>
      <c r="F455" s="7" t="n">
        <f aca="false">A455*가정!$B$26+B455*가정!$B$27</f>
        <v>450000</v>
      </c>
      <c r="G455" s="7" t="n">
        <f aca="false">B455*가정!$B$28</f>
        <v>0</v>
      </c>
      <c r="H455" s="7" t="n">
        <f aca="false">B455-C455-E455-F455-G455</f>
        <v>79460000</v>
      </c>
      <c r="I455" s="7" t="n">
        <f aca="false">H455-IF(가정!$B$7=1,가정!$B$5,0)</f>
        <v>75460000</v>
      </c>
      <c r="J455" s="7" t="n">
        <f aca="false">MAX(0,I455)*가정!$B$6</f>
        <v>67914000</v>
      </c>
      <c r="K455" s="7" t="n">
        <f aca="false">가정!$B$5+J455</f>
        <v>71914000</v>
      </c>
      <c r="L455" s="7" t="n">
        <f aca="false">H455-K455</f>
        <v>7546000</v>
      </c>
      <c r="M455" s="8" t="n">
        <f aca="false">IF(B455=0,0,K455/B455)</f>
        <v>0.551065134099617</v>
      </c>
      <c r="N455" s="7" t="n">
        <f aca="false">K455/가정!$B$8</f>
        <v>359570</v>
      </c>
      <c r="O455" s="7" t="n">
        <f aca="false">IF(I455&gt;0,A455,"")</f>
        <v>450</v>
      </c>
      <c r="P455" s="7" t="n">
        <f aca="false">IF(L455&gt;=0,A455,"")</f>
        <v>450</v>
      </c>
      <c r="Q455" s="7" t="n">
        <f aca="false">IF(K455&gt;=가정!$B$32,A455,"")</f>
        <v>450</v>
      </c>
      <c r="R455" s="7" t="str">
        <f aca="false">IF(MAX(0,I455)*(1-가정!$B$6)*'1억 상환'!$B$6&gt;='1억 상환'!$B$5,A455,"")</f>
        <v/>
      </c>
    </row>
    <row r="456" customFormat="false" ht="15" hidden="false" customHeight="false" outlineLevel="0" collapsed="false">
      <c r="A456" s="7" t="n">
        <v>451</v>
      </c>
      <c r="B456" s="7" t="n">
        <f aca="false">A456*가정!$B$10</f>
        <v>130790000</v>
      </c>
      <c r="C456" s="7" t="n">
        <f aca="false">가정!$B$34</f>
        <v>3590000</v>
      </c>
      <c r="D456" s="7" t="n">
        <f aca="false">ROUNDUP(MAX(0,A456-가정!$B$18)/가정!$B$19,0)</f>
        <v>8</v>
      </c>
      <c r="E456" s="7" t="n">
        <f aca="false">D456*가정!$B$20+ROUNDUP(A456/가정!$B$22,0)*가정!$B$21+ROUNDUP(A456/가정!$B$24,0)*가정!$B$23</f>
        <v>47000000</v>
      </c>
      <c r="F456" s="7" t="n">
        <f aca="false">A456*가정!$B$26+B456*가정!$B$27</f>
        <v>451000</v>
      </c>
      <c r="G456" s="7" t="n">
        <f aca="false">B456*가정!$B$28</f>
        <v>0</v>
      </c>
      <c r="H456" s="7" t="n">
        <f aca="false">B456-C456-E456-F456-G456</f>
        <v>79749000</v>
      </c>
      <c r="I456" s="7" t="n">
        <f aca="false">H456-IF(가정!$B$7=1,가정!$B$5,0)</f>
        <v>75749000</v>
      </c>
      <c r="J456" s="7" t="n">
        <f aca="false">MAX(0,I456)*가정!$B$6</f>
        <v>68174100</v>
      </c>
      <c r="K456" s="7" t="n">
        <f aca="false">가정!$B$5+J456</f>
        <v>72174100</v>
      </c>
      <c r="L456" s="7" t="n">
        <f aca="false">H456-K456</f>
        <v>7574900</v>
      </c>
      <c r="M456" s="8" t="n">
        <f aca="false">IF(B456=0,0,K456/B456)</f>
        <v>0.551831944338252</v>
      </c>
      <c r="N456" s="7" t="n">
        <f aca="false">K456/가정!$B$8</f>
        <v>360870.5</v>
      </c>
      <c r="O456" s="7" t="n">
        <f aca="false">IF(I456&gt;0,A456,"")</f>
        <v>451</v>
      </c>
      <c r="P456" s="7" t="n">
        <f aca="false">IF(L456&gt;=0,A456,"")</f>
        <v>451</v>
      </c>
      <c r="Q456" s="7" t="n">
        <f aca="false">IF(K456&gt;=가정!$B$32,A456,"")</f>
        <v>451</v>
      </c>
      <c r="R456" s="7" t="str">
        <f aca="false">IF(MAX(0,I456)*(1-가정!$B$6)*'1억 상환'!$B$6&gt;='1억 상환'!$B$5,A456,"")</f>
        <v/>
      </c>
    </row>
    <row r="457" customFormat="false" ht="15" hidden="false" customHeight="false" outlineLevel="0" collapsed="false">
      <c r="A457" s="7" t="n">
        <v>452</v>
      </c>
      <c r="B457" s="7" t="n">
        <f aca="false">A457*가정!$B$10</f>
        <v>131080000</v>
      </c>
      <c r="C457" s="7" t="n">
        <f aca="false">가정!$B$34</f>
        <v>3590000</v>
      </c>
      <c r="D457" s="7" t="n">
        <f aca="false">ROUNDUP(MAX(0,A457-가정!$B$18)/가정!$B$19,0)</f>
        <v>8</v>
      </c>
      <c r="E457" s="7" t="n">
        <f aca="false">D457*가정!$B$20+ROUNDUP(A457/가정!$B$22,0)*가정!$B$21+ROUNDUP(A457/가정!$B$24,0)*가정!$B$23</f>
        <v>47000000</v>
      </c>
      <c r="F457" s="7" t="n">
        <f aca="false">A457*가정!$B$26+B457*가정!$B$27</f>
        <v>452000</v>
      </c>
      <c r="G457" s="7" t="n">
        <f aca="false">B457*가정!$B$28</f>
        <v>0</v>
      </c>
      <c r="H457" s="7" t="n">
        <f aca="false">B457-C457-E457-F457-G457</f>
        <v>80038000</v>
      </c>
      <c r="I457" s="7" t="n">
        <f aca="false">H457-IF(가정!$B$7=1,가정!$B$5,0)</f>
        <v>76038000</v>
      </c>
      <c r="J457" s="7" t="n">
        <f aca="false">MAX(0,I457)*가정!$B$6</f>
        <v>68434200</v>
      </c>
      <c r="K457" s="7" t="n">
        <f aca="false">가정!$B$5+J457</f>
        <v>72434200</v>
      </c>
      <c r="L457" s="7" t="n">
        <f aca="false">H457-K457</f>
        <v>7603800</v>
      </c>
      <c r="M457" s="8" t="n">
        <f aca="false">IF(B457=0,0,K457/B457)</f>
        <v>0.55259536161123</v>
      </c>
      <c r="N457" s="7" t="n">
        <f aca="false">K457/가정!$B$8</f>
        <v>362171</v>
      </c>
      <c r="O457" s="7" t="n">
        <f aca="false">IF(I457&gt;0,A457,"")</f>
        <v>452</v>
      </c>
      <c r="P457" s="7" t="n">
        <f aca="false">IF(L457&gt;=0,A457,"")</f>
        <v>452</v>
      </c>
      <c r="Q457" s="7" t="n">
        <f aca="false">IF(K457&gt;=가정!$B$32,A457,"")</f>
        <v>452</v>
      </c>
      <c r="R457" s="7" t="str">
        <f aca="false">IF(MAX(0,I457)*(1-가정!$B$6)*'1억 상환'!$B$6&gt;='1억 상환'!$B$5,A457,"")</f>
        <v/>
      </c>
    </row>
    <row r="458" customFormat="false" ht="15" hidden="false" customHeight="false" outlineLevel="0" collapsed="false">
      <c r="A458" s="7" t="n">
        <v>453</v>
      </c>
      <c r="B458" s="7" t="n">
        <f aca="false">A458*가정!$B$10</f>
        <v>131370000</v>
      </c>
      <c r="C458" s="7" t="n">
        <f aca="false">가정!$B$34</f>
        <v>3590000</v>
      </c>
      <c r="D458" s="7" t="n">
        <f aca="false">ROUNDUP(MAX(0,A458-가정!$B$18)/가정!$B$19,0)</f>
        <v>8</v>
      </c>
      <c r="E458" s="7" t="n">
        <f aca="false">D458*가정!$B$20+ROUNDUP(A458/가정!$B$22,0)*가정!$B$21+ROUNDUP(A458/가정!$B$24,0)*가정!$B$23</f>
        <v>47000000</v>
      </c>
      <c r="F458" s="7" t="n">
        <f aca="false">A458*가정!$B$26+B458*가정!$B$27</f>
        <v>453000</v>
      </c>
      <c r="G458" s="7" t="n">
        <f aca="false">B458*가정!$B$28</f>
        <v>0</v>
      </c>
      <c r="H458" s="7" t="n">
        <f aca="false">B458-C458-E458-F458-G458</f>
        <v>80327000</v>
      </c>
      <c r="I458" s="7" t="n">
        <f aca="false">H458-IF(가정!$B$7=1,가정!$B$5,0)</f>
        <v>76327000</v>
      </c>
      <c r="J458" s="7" t="n">
        <f aca="false">MAX(0,I458)*가정!$B$6</f>
        <v>68694300</v>
      </c>
      <c r="K458" s="7" t="n">
        <f aca="false">가정!$B$5+J458</f>
        <v>72694300</v>
      </c>
      <c r="L458" s="7" t="n">
        <f aca="false">H458-K458</f>
        <v>7632700</v>
      </c>
      <c r="M458" s="8" t="n">
        <f aca="false">IF(B458=0,0,K458/B458)</f>
        <v>0.553355408388521</v>
      </c>
      <c r="N458" s="7" t="n">
        <f aca="false">K458/가정!$B$8</f>
        <v>363471.5</v>
      </c>
      <c r="O458" s="7" t="n">
        <f aca="false">IF(I458&gt;0,A458,"")</f>
        <v>453</v>
      </c>
      <c r="P458" s="7" t="n">
        <f aca="false">IF(L458&gt;=0,A458,"")</f>
        <v>453</v>
      </c>
      <c r="Q458" s="7" t="n">
        <f aca="false">IF(K458&gt;=가정!$B$32,A458,"")</f>
        <v>453</v>
      </c>
      <c r="R458" s="7" t="str">
        <f aca="false">IF(MAX(0,I458)*(1-가정!$B$6)*'1억 상환'!$B$6&gt;='1억 상환'!$B$5,A458,"")</f>
        <v/>
      </c>
    </row>
    <row r="459" customFormat="false" ht="15" hidden="false" customHeight="false" outlineLevel="0" collapsed="false">
      <c r="A459" s="7" t="n">
        <v>454</v>
      </c>
      <c r="B459" s="7" t="n">
        <f aca="false">A459*가정!$B$10</f>
        <v>131660000</v>
      </c>
      <c r="C459" s="7" t="n">
        <f aca="false">가정!$B$34</f>
        <v>3590000</v>
      </c>
      <c r="D459" s="7" t="n">
        <f aca="false">ROUNDUP(MAX(0,A459-가정!$B$18)/가정!$B$19,0)</f>
        <v>8</v>
      </c>
      <c r="E459" s="7" t="n">
        <f aca="false">D459*가정!$B$20+ROUNDUP(A459/가정!$B$22,0)*가정!$B$21+ROUNDUP(A459/가정!$B$24,0)*가정!$B$23</f>
        <v>47000000</v>
      </c>
      <c r="F459" s="7" t="n">
        <f aca="false">A459*가정!$B$26+B459*가정!$B$27</f>
        <v>454000</v>
      </c>
      <c r="G459" s="7" t="n">
        <f aca="false">B459*가정!$B$28</f>
        <v>0</v>
      </c>
      <c r="H459" s="7" t="n">
        <f aca="false">B459-C459-E459-F459-G459</f>
        <v>80616000</v>
      </c>
      <c r="I459" s="7" t="n">
        <f aca="false">H459-IF(가정!$B$7=1,가정!$B$5,0)</f>
        <v>76616000</v>
      </c>
      <c r="J459" s="7" t="n">
        <f aca="false">MAX(0,I459)*가정!$B$6</f>
        <v>68954400</v>
      </c>
      <c r="K459" s="7" t="n">
        <f aca="false">가정!$B$5+J459</f>
        <v>72954400</v>
      </c>
      <c r="L459" s="7" t="n">
        <f aca="false">H459-K459</f>
        <v>7661600</v>
      </c>
      <c r="M459" s="8" t="n">
        <f aca="false">IF(B459=0,0,K459/B459)</f>
        <v>0.554112106942124</v>
      </c>
      <c r="N459" s="7" t="n">
        <f aca="false">K459/가정!$B$8</f>
        <v>364772</v>
      </c>
      <c r="O459" s="7" t="n">
        <f aca="false">IF(I459&gt;0,A459,"")</f>
        <v>454</v>
      </c>
      <c r="P459" s="7" t="n">
        <f aca="false">IF(L459&gt;=0,A459,"")</f>
        <v>454</v>
      </c>
      <c r="Q459" s="7" t="n">
        <f aca="false">IF(K459&gt;=가정!$B$32,A459,"")</f>
        <v>454</v>
      </c>
      <c r="R459" s="7" t="str">
        <f aca="false">IF(MAX(0,I459)*(1-가정!$B$6)*'1억 상환'!$B$6&gt;='1억 상환'!$B$5,A459,"")</f>
        <v/>
      </c>
    </row>
    <row r="460" customFormat="false" ht="15" hidden="false" customHeight="false" outlineLevel="0" collapsed="false">
      <c r="A460" s="7" t="n">
        <v>455</v>
      </c>
      <c r="B460" s="7" t="n">
        <f aca="false">A460*가정!$B$10</f>
        <v>131950000</v>
      </c>
      <c r="C460" s="7" t="n">
        <f aca="false">가정!$B$34</f>
        <v>3590000</v>
      </c>
      <c r="D460" s="7" t="n">
        <f aca="false">ROUNDUP(MAX(0,A460-가정!$B$18)/가정!$B$19,0)</f>
        <v>8</v>
      </c>
      <c r="E460" s="7" t="n">
        <f aca="false">D460*가정!$B$20+ROUNDUP(A460/가정!$B$22,0)*가정!$B$21+ROUNDUP(A460/가정!$B$24,0)*가정!$B$23</f>
        <v>47000000</v>
      </c>
      <c r="F460" s="7" t="n">
        <f aca="false">A460*가정!$B$26+B460*가정!$B$27</f>
        <v>455000</v>
      </c>
      <c r="G460" s="7" t="n">
        <f aca="false">B460*가정!$B$28</f>
        <v>0</v>
      </c>
      <c r="H460" s="7" t="n">
        <f aca="false">B460-C460-E460-F460-G460</f>
        <v>80905000</v>
      </c>
      <c r="I460" s="7" t="n">
        <f aca="false">H460-IF(가정!$B$7=1,가정!$B$5,0)</f>
        <v>76905000</v>
      </c>
      <c r="J460" s="7" t="n">
        <f aca="false">MAX(0,I460)*가정!$B$6</f>
        <v>69214500</v>
      </c>
      <c r="K460" s="7" t="n">
        <f aca="false">가정!$B$5+J460</f>
        <v>73214500</v>
      </c>
      <c r="L460" s="7" t="n">
        <f aca="false">H460-K460</f>
        <v>7690500</v>
      </c>
      <c r="M460" s="8" t="n">
        <f aca="false">IF(B460=0,0,K460/B460)</f>
        <v>0.554865479348238</v>
      </c>
      <c r="N460" s="7" t="n">
        <f aca="false">K460/가정!$B$8</f>
        <v>366072.5</v>
      </c>
      <c r="O460" s="7" t="n">
        <f aca="false">IF(I460&gt;0,A460,"")</f>
        <v>455</v>
      </c>
      <c r="P460" s="7" t="n">
        <f aca="false">IF(L460&gt;=0,A460,"")</f>
        <v>455</v>
      </c>
      <c r="Q460" s="7" t="n">
        <f aca="false">IF(K460&gt;=가정!$B$32,A460,"")</f>
        <v>455</v>
      </c>
      <c r="R460" s="7" t="str">
        <f aca="false">IF(MAX(0,I460)*(1-가정!$B$6)*'1억 상환'!$B$6&gt;='1억 상환'!$B$5,A460,"")</f>
        <v/>
      </c>
    </row>
    <row r="461" customFormat="false" ht="15" hidden="false" customHeight="false" outlineLevel="0" collapsed="false">
      <c r="A461" s="7" t="n">
        <v>456</v>
      </c>
      <c r="B461" s="7" t="n">
        <f aca="false">A461*가정!$B$10</f>
        <v>132240000</v>
      </c>
      <c r="C461" s="7" t="n">
        <f aca="false">가정!$B$34</f>
        <v>3590000</v>
      </c>
      <c r="D461" s="7" t="n">
        <f aca="false">ROUNDUP(MAX(0,A461-가정!$B$18)/가정!$B$19,0)</f>
        <v>8</v>
      </c>
      <c r="E461" s="7" t="n">
        <f aca="false">D461*가정!$B$20+ROUNDUP(A461/가정!$B$22,0)*가정!$B$21+ROUNDUP(A461/가정!$B$24,0)*가정!$B$23</f>
        <v>47000000</v>
      </c>
      <c r="F461" s="7" t="n">
        <f aca="false">A461*가정!$B$26+B461*가정!$B$27</f>
        <v>456000</v>
      </c>
      <c r="G461" s="7" t="n">
        <f aca="false">B461*가정!$B$28</f>
        <v>0</v>
      </c>
      <c r="H461" s="7" t="n">
        <f aca="false">B461-C461-E461-F461-G461</f>
        <v>81194000</v>
      </c>
      <c r="I461" s="7" t="n">
        <f aca="false">H461-IF(가정!$B$7=1,가정!$B$5,0)</f>
        <v>77194000</v>
      </c>
      <c r="J461" s="7" t="n">
        <f aca="false">MAX(0,I461)*가정!$B$6</f>
        <v>69474600</v>
      </c>
      <c r="K461" s="7" t="n">
        <f aca="false">가정!$B$5+J461</f>
        <v>73474600</v>
      </c>
      <c r="L461" s="7" t="n">
        <f aca="false">H461-K461</f>
        <v>7719400</v>
      </c>
      <c r="M461" s="8" t="n">
        <f aca="false">IF(B461=0,0,K461/B461)</f>
        <v>0.555615547489413</v>
      </c>
      <c r="N461" s="7" t="n">
        <f aca="false">K461/가정!$B$8</f>
        <v>367373</v>
      </c>
      <c r="O461" s="7" t="n">
        <f aca="false">IF(I461&gt;0,A461,"")</f>
        <v>456</v>
      </c>
      <c r="P461" s="7" t="n">
        <f aca="false">IF(L461&gt;=0,A461,"")</f>
        <v>456</v>
      </c>
      <c r="Q461" s="7" t="n">
        <f aca="false">IF(K461&gt;=가정!$B$32,A461,"")</f>
        <v>456</v>
      </c>
      <c r="R461" s="7" t="str">
        <f aca="false">IF(MAX(0,I461)*(1-가정!$B$6)*'1억 상환'!$B$6&gt;='1억 상환'!$B$5,A461,"")</f>
        <v/>
      </c>
    </row>
    <row r="462" customFormat="false" ht="15" hidden="false" customHeight="false" outlineLevel="0" collapsed="false">
      <c r="A462" s="7" t="n">
        <v>457</v>
      </c>
      <c r="B462" s="7" t="n">
        <f aca="false">A462*가정!$B$10</f>
        <v>132530000</v>
      </c>
      <c r="C462" s="7" t="n">
        <f aca="false">가정!$B$34</f>
        <v>3590000</v>
      </c>
      <c r="D462" s="7" t="n">
        <f aca="false">ROUNDUP(MAX(0,A462-가정!$B$18)/가정!$B$19,0)</f>
        <v>8</v>
      </c>
      <c r="E462" s="7" t="n">
        <f aca="false">D462*가정!$B$20+ROUNDUP(A462/가정!$B$22,0)*가정!$B$21+ROUNDUP(A462/가정!$B$24,0)*가정!$B$23</f>
        <v>47000000</v>
      </c>
      <c r="F462" s="7" t="n">
        <f aca="false">A462*가정!$B$26+B462*가정!$B$27</f>
        <v>457000</v>
      </c>
      <c r="G462" s="7" t="n">
        <f aca="false">B462*가정!$B$28</f>
        <v>0</v>
      </c>
      <c r="H462" s="7" t="n">
        <f aca="false">B462-C462-E462-F462-G462</f>
        <v>81483000</v>
      </c>
      <c r="I462" s="7" t="n">
        <f aca="false">H462-IF(가정!$B$7=1,가정!$B$5,0)</f>
        <v>77483000</v>
      </c>
      <c r="J462" s="7" t="n">
        <f aca="false">MAX(0,I462)*가정!$B$6</f>
        <v>69734700</v>
      </c>
      <c r="K462" s="7" t="n">
        <f aca="false">가정!$B$5+J462</f>
        <v>73734700</v>
      </c>
      <c r="L462" s="7" t="n">
        <f aca="false">H462-K462</f>
        <v>7748300</v>
      </c>
      <c r="M462" s="8" t="n">
        <f aca="false">IF(B462=0,0,K462/B462)</f>
        <v>0.556362333056666</v>
      </c>
      <c r="N462" s="7" t="n">
        <f aca="false">K462/가정!$B$8</f>
        <v>368673.5</v>
      </c>
      <c r="O462" s="7" t="n">
        <f aca="false">IF(I462&gt;0,A462,"")</f>
        <v>457</v>
      </c>
      <c r="P462" s="7" t="n">
        <f aca="false">IF(L462&gt;=0,A462,"")</f>
        <v>457</v>
      </c>
      <c r="Q462" s="7" t="n">
        <f aca="false">IF(K462&gt;=가정!$B$32,A462,"")</f>
        <v>457</v>
      </c>
      <c r="R462" s="7" t="str">
        <f aca="false">IF(MAX(0,I462)*(1-가정!$B$6)*'1억 상환'!$B$6&gt;='1억 상환'!$B$5,A462,"")</f>
        <v/>
      </c>
    </row>
    <row r="463" customFormat="false" ht="15" hidden="false" customHeight="false" outlineLevel="0" collapsed="false">
      <c r="A463" s="7" t="n">
        <v>458</v>
      </c>
      <c r="B463" s="7" t="n">
        <f aca="false">A463*가정!$B$10</f>
        <v>132820000</v>
      </c>
      <c r="C463" s="7" t="n">
        <f aca="false">가정!$B$34</f>
        <v>3590000</v>
      </c>
      <c r="D463" s="7" t="n">
        <f aca="false">ROUNDUP(MAX(0,A463-가정!$B$18)/가정!$B$19,0)</f>
        <v>8</v>
      </c>
      <c r="E463" s="7" t="n">
        <f aca="false">D463*가정!$B$20+ROUNDUP(A463/가정!$B$22,0)*가정!$B$21+ROUNDUP(A463/가정!$B$24,0)*가정!$B$23</f>
        <v>47000000</v>
      </c>
      <c r="F463" s="7" t="n">
        <f aca="false">A463*가정!$B$26+B463*가정!$B$27</f>
        <v>458000</v>
      </c>
      <c r="G463" s="7" t="n">
        <f aca="false">B463*가정!$B$28</f>
        <v>0</v>
      </c>
      <c r="H463" s="7" t="n">
        <f aca="false">B463-C463-E463-F463-G463</f>
        <v>81772000</v>
      </c>
      <c r="I463" s="7" t="n">
        <f aca="false">H463-IF(가정!$B$7=1,가정!$B$5,0)</f>
        <v>77772000</v>
      </c>
      <c r="J463" s="7" t="n">
        <f aca="false">MAX(0,I463)*가정!$B$6</f>
        <v>69994800</v>
      </c>
      <c r="K463" s="7" t="n">
        <f aca="false">가정!$B$5+J463</f>
        <v>73994800</v>
      </c>
      <c r="L463" s="7" t="n">
        <f aca="false">H463-K463</f>
        <v>7777200</v>
      </c>
      <c r="M463" s="8" t="n">
        <f aca="false">IF(B463=0,0,K463/B463)</f>
        <v>0.557105857551574</v>
      </c>
      <c r="N463" s="7" t="n">
        <f aca="false">K463/가정!$B$8</f>
        <v>369974</v>
      </c>
      <c r="O463" s="7" t="n">
        <f aca="false">IF(I463&gt;0,A463,"")</f>
        <v>458</v>
      </c>
      <c r="P463" s="7" t="n">
        <f aca="false">IF(L463&gt;=0,A463,"")</f>
        <v>458</v>
      </c>
      <c r="Q463" s="7" t="n">
        <f aca="false">IF(K463&gt;=가정!$B$32,A463,"")</f>
        <v>458</v>
      </c>
      <c r="R463" s="7" t="str">
        <f aca="false">IF(MAX(0,I463)*(1-가정!$B$6)*'1억 상환'!$B$6&gt;='1억 상환'!$B$5,A463,"")</f>
        <v/>
      </c>
    </row>
    <row r="464" customFormat="false" ht="15" hidden="false" customHeight="false" outlineLevel="0" collapsed="false">
      <c r="A464" s="7" t="n">
        <v>459</v>
      </c>
      <c r="B464" s="7" t="n">
        <f aca="false">A464*가정!$B$10</f>
        <v>133110000</v>
      </c>
      <c r="C464" s="7" t="n">
        <f aca="false">가정!$B$34</f>
        <v>3590000</v>
      </c>
      <c r="D464" s="7" t="n">
        <f aca="false">ROUNDUP(MAX(0,A464-가정!$B$18)/가정!$B$19,0)</f>
        <v>8</v>
      </c>
      <c r="E464" s="7" t="n">
        <f aca="false">D464*가정!$B$20+ROUNDUP(A464/가정!$B$22,0)*가정!$B$21+ROUNDUP(A464/가정!$B$24,0)*가정!$B$23</f>
        <v>47000000</v>
      </c>
      <c r="F464" s="7" t="n">
        <f aca="false">A464*가정!$B$26+B464*가정!$B$27</f>
        <v>459000</v>
      </c>
      <c r="G464" s="7" t="n">
        <f aca="false">B464*가정!$B$28</f>
        <v>0</v>
      </c>
      <c r="H464" s="7" t="n">
        <f aca="false">B464-C464-E464-F464-G464</f>
        <v>82061000</v>
      </c>
      <c r="I464" s="7" t="n">
        <f aca="false">H464-IF(가정!$B$7=1,가정!$B$5,0)</f>
        <v>78061000</v>
      </c>
      <c r="J464" s="7" t="n">
        <f aca="false">MAX(0,I464)*가정!$B$6</f>
        <v>70254900</v>
      </c>
      <c r="K464" s="7" t="n">
        <f aca="false">가정!$B$5+J464</f>
        <v>74254900</v>
      </c>
      <c r="L464" s="7" t="n">
        <f aca="false">H464-K464</f>
        <v>7806100</v>
      </c>
      <c r="M464" s="8" t="n">
        <f aca="false">IF(B464=0,0,K464/B464)</f>
        <v>0.557846142288333</v>
      </c>
      <c r="N464" s="7" t="n">
        <f aca="false">K464/가정!$B$8</f>
        <v>371274.5</v>
      </c>
      <c r="O464" s="7" t="n">
        <f aca="false">IF(I464&gt;0,A464,"")</f>
        <v>459</v>
      </c>
      <c r="P464" s="7" t="n">
        <f aca="false">IF(L464&gt;=0,A464,"")</f>
        <v>459</v>
      </c>
      <c r="Q464" s="7" t="n">
        <f aca="false">IF(K464&gt;=가정!$B$32,A464,"")</f>
        <v>459</v>
      </c>
      <c r="R464" s="7" t="str">
        <f aca="false">IF(MAX(0,I464)*(1-가정!$B$6)*'1억 상환'!$B$6&gt;='1억 상환'!$B$5,A464,"")</f>
        <v/>
      </c>
    </row>
    <row r="465" customFormat="false" ht="15" hidden="false" customHeight="false" outlineLevel="0" collapsed="false">
      <c r="A465" s="7" t="n">
        <v>460</v>
      </c>
      <c r="B465" s="7" t="n">
        <f aca="false">A465*가정!$B$10</f>
        <v>133400000</v>
      </c>
      <c r="C465" s="7" t="n">
        <f aca="false">가정!$B$34</f>
        <v>3590000</v>
      </c>
      <c r="D465" s="7" t="n">
        <f aca="false">ROUNDUP(MAX(0,A465-가정!$B$18)/가정!$B$19,0)</f>
        <v>8</v>
      </c>
      <c r="E465" s="7" t="n">
        <f aca="false">D465*가정!$B$20+ROUNDUP(A465/가정!$B$22,0)*가정!$B$21+ROUNDUP(A465/가정!$B$24,0)*가정!$B$23</f>
        <v>47000000</v>
      </c>
      <c r="F465" s="7" t="n">
        <f aca="false">A465*가정!$B$26+B465*가정!$B$27</f>
        <v>460000</v>
      </c>
      <c r="G465" s="7" t="n">
        <f aca="false">B465*가정!$B$28</f>
        <v>0</v>
      </c>
      <c r="H465" s="7" t="n">
        <f aca="false">B465-C465-E465-F465-G465</f>
        <v>82350000</v>
      </c>
      <c r="I465" s="7" t="n">
        <f aca="false">H465-IF(가정!$B$7=1,가정!$B$5,0)</f>
        <v>78350000</v>
      </c>
      <c r="J465" s="7" t="n">
        <f aca="false">MAX(0,I465)*가정!$B$6</f>
        <v>70515000</v>
      </c>
      <c r="K465" s="7" t="n">
        <f aca="false">가정!$B$5+J465</f>
        <v>74515000</v>
      </c>
      <c r="L465" s="7" t="n">
        <f aca="false">H465-K465</f>
        <v>7835000</v>
      </c>
      <c r="M465" s="8" t="n">
        <f aca="false">IF(B465=0,0,K465/B465)</f>
        <v>0.558583208395802</v>
      </c>
      <c r="N465" s="7" t="n">
        <f aca="false">K465/가정!$B$8</f>
        <v>372575</v>
      </c>
      <c r="O465" s="7" t="n">
        <f aca="false">IF(I465&gt;0,A465,"")</f>
        <v>460</v>
      </c>
      <c r="P465" s="7" t="n">
        <f aca="false">IF(L465&gt;=0,A465,"")</f>
        <v>460</v>
      </c>
      <c r="Q465" s="7" t="n">
        <f aca="false">IF(K465&gt;=가정!$B$32,A465,"")</f>
        <v>460</v>
      </c>
      <c r="R465" s="7" t="str">
        <f aca="false">IF(MAX(0,I465)*(1-가정!$B$6)*'1억 상환'!$B$6&gt;='1억 상환'!$B$5,A465,"")</f>
        <v/>
      </c>
    </row>
    <row r="466" customFormat="false" ht="15" hidden="false" customHeight="false" outlineLevel="0" collapsed="false">
      <c r="A466" s="7" t="n">
        <v>461</v>
      </c>
      <c r="B466" s="7" t="n">
        <f aca="false">A466*가정!$B$10</f>
        <v>133690000</v>
      </c>
      <c r="C466" s="7" t="n">
        <f aca="false">가정!$B$34</f>
        <v>3590000</v>
      </c>
      <c r="D466" s="7" t="n">
        <f aca="false">ROUNDUP(MAX(0,A466-가정!$B$18)/가정!$B$19,0)</f>
        <v>8</v>
      </c>
      <c r="E466" s="7" t="n">
        <f aca="false">D466*가정!$B$20+ROUNDUP(A466/가정!$B$22,0)*가정!$B$21+ROUNDUP(A466/가정!$B$24,0)*가정!$B$23</f>
        <v>47000000</v>
      </c>
      <c r="F466" s="7" t="n">
        <f aca="false">A466*가정!$B$26+B466*가정!$B$27</f>
        <v>461000</v>
      </c>
      <c r="G466" s="7" t="n">
        <f aca="false">B466*가정!$B$28</f>
        <v>0</v>
      </c>
      <c r="H466" s="7" t="n">
        <f aca="false">B466-C466-E466-F466-G466</f>
        <v>82639000</v>
      </c>
      <c r="I466" s="7" t="n">
        <f aca="false">H466-IF(가정!$B$7=1,가정!$B$5,0)</f>
        <v>78639000</v>
      </c>
      <c r="J466" s="7" t="n">
        <f aca="false">MAX(0,I466)*가정!$B$6</f>
        <v>70775100</v>
      </c>
      <c r="K466" s="7" t="n">
        <f aca="false">가정!$B$5+J466</f>
        <v>74775100</v>
      </c>
      <c r="L466" s="7" t="n">
        <f aca="false">H466-K466</f>
        <v>7863900</v>
      </c>
      <c r="M466" s="8" t="n">
        <f aca="false">IF(B466=0,0,K466/B466)</f>
        <v>0.559317076819508</v>
      </c>
      <c r="N466" s="7" t="n">
        <f aca="false">K466/가정!$B$8</f>
        <v>373875.5</v>
      </c>
      <c r="O466" s="7" t="n">
        <f aca="false">IF(I466&gt;0,A466,"")</f>
        <v>461</v>
      </c>
      <c r="P466" s="7" t="n">
        <f aca="false">IF(L466&gt;=0,A466,"")</f>
        <v>461</v>
      </c>
      <c r="Q466" s="7" t="n">
        <f aca="false">IF(K466&gt;=가정!$B$32,A466,"")</f>
        <v>461</v>
      </c>
      <c r="R466" s="7" t="str">
        <f aca="false">IF(MAX(0,I466)*(1-가정!$B$6)*'1억 상환'!$B$6&gt;='1억 상환'!$B$5,A466,"")</f>
        <v/>
      </c>
    </row>
    <row r="467" customFormat="false" ht="15" hidden="false" customHeight="false" outlineLevel="0" collapsed="false">
      <c r="A467" s="7" t="n">
        <v>462</v>
      </c>
      <c r="B467" s="7" t="n">
        <f aca="false">A467*가정!$B$10</f>
        <v>133980000</v>
      </c>
      <c r="C467" s="7" t="n">
        <f aca="false">가정!$B$34</f>
        <v>3590000</v>
      </c>
      <c r="D467" s="7" t="n">
        <f aca="false">ROUNDUP(MAX(0,A467-가정!$B$18)/가정!$B$19,0)</f>
        <v>8</v>
      </c>
      <c r="E467" s="7" t="n">
        <f aca="false">D467*가정!$B$20+ROUNDUP(A467/가정!$B$22,0)*가정!$B$21+ROUNDUP(A467/가정!$B$24,0)*가정!$B$23</f>
        <v>47000000</v>
      </c>
      <c r="F467" s="7" t="n">
        <f aca="false">A467*가정!$B$26+B467*가정!$B$27</f>
        <v>462000</v>
      </c>
      <c r="G467" s="7" t="n">
        <f aca="false">B467*가정!$B$28</f>
        <v>0</v>
      </c>
      <c r="H467" s="7" t="n">
        <f aca="false">B467-C467-E467-F467-G467</f>
        <v>82928000</v>
      </c>
      <c r="I467" s="7" t="n">
        <f aca="false">H467-IF(가정!$B$7=1,가정!$B$5,0)</f>
        <v>78928000</v>
      </c>
      <c r="J467" s="7" t="n">
        <f aca="false">MAX(0,I467)*가정!$B$6</f>
        <v>71035200</v>
      </c>
      <c r="K467" s="7" t="n">
        <f aca="false">가정!$B$5+J467</f>
        <v>75035200</v>
      </c>
      <c r="L467" s="7" t="n">
        <f aca="false">H467-K467</f>
        <v>7892800</v>
      </c>
      <c r="M467" s="8" t="n">
        <f aca="false">IF(B467=0,0,K467/B467)</f>
        <v>0.56004776832363</v>
      </c>
      <c r="N467" s="7" t="n">
        <f aca="false">K467/가정!$B$8</f>
        <v>375176</v>
      </c>
      <c r="O467" s="7" t="n">
        <f aca="false">IF(I467&gt;0,A467,"")</f>
        <v>462</v>
      </c>
      <c r="P467" s="7" t="n">
        <f aca="false">IF(L467&gt;=0,A467,"")</f>
        <v>462</v>
      </c>
      <c r="Q467" s="7" t="n">
        <f aca="false">IF(K467&gt;=가정!$B$32,A467,"")</f>
        <v>462</v>
      </c>
      <c r="R467" s="7" t="str">
        <f aca="false">IF(MAX(0,I467)*(1-가정!$B$6)*'1억 상환'!$B$6&gt;='1억 상환'!$B$5,A467,"")</f>
        <v/>
      </c>
    </row>
    <row r="468" customFormat="false" ht="15" hidden="false" customHeight="false" outlineLevel="0" collapsed="false">
      <c r="A468" s="7" t="n">
        <v>463</v>
      </c>
      <c r="B468" s="7" t="n">
        <f aca="false">A468*가정!$B$10</f>
        <v>134270000</v>
      </c>
      <c r="C468" s="7" t="n">
        <f aca="false">가정!$B$34</f>
        <v>3590000</v>
      </c>
      <c r="D468" s="7" t="n">
        <f aca="false">ROUNDUP(MAX(0,A468-가정!$B$18)/가정!$B$19,0)</f>
        <v>8</v>
      </c>
      <c r="E468" s="7" t="n">
        <f aca="false">D468*가정!$B$20+ROUNDUP(A468/가정!$B$22,0)*가정!$B$21+ROUNDUP(A468/가정!$B$24,0)*가정!$B$23</f>
        <v>47000000</v>
      </c>
      <c r="F468" s="7" t="n">
        <f aca="false">A468*가정!$B$26+B468*가정!$B$27</f>
        <v>463000</v>
      </c>
      <c r="G468" s="7" t="n">
        <f aca="false">B468*가정!$B$28</f>
        <v>0</v>
      </c>
      <c r="H468" s="7" t="n">
        <f aca="false">B468-C468-E468-F468-G468</f>
        <v>83217000</v>
      </c>
      <c r="I468" s="7" t="n">
        <f aca="false">H468-IF(가정!$B$7=1,가정!$B$5,0)</f>
        <v>79217000</v>
      </c>
      <c r="J468" s="7" t="n">
        <f aca="false">MAX(0,I468)*가정!$B$6</f>
        <v>71295300</v>
      </c>
      <c r="K468" s="7" t="n">
        <f aca="false">가정!$B$5+J468</f>
        <v>75295300</v>
      </c>
      <c r="L468" s="7" t="n">
        <f aca="false">H468-K468</f>
        <v>7921700</v>
      </c>
      <c r="M468" s="8" t="n">
        <f aca="false">IF(B468=0,0,K468/B468)</f>
        <v>0.560775303492962</v>
      </c>
      <c r="N468" s="7" t="n">
        <f aca="false">K468/가정!$B$8</f>
        <v>376476.5</v>
      </c>
      <c r="O468" s="7" t="n">
        <f aca="false">IF(I468&gt;0,A468,"")</f>
        <v>463</v>
      </c>
      <c r="P468" s="7" t="n">
        <f aca="false">IF(L468&gt;=0,A468,"")</f>
        <v>463</v>
      </c>
      <c r="Q468" s="7" t="n">
        <f aca="false">IF(K468&gt;=가정!$B$32,A468,"")</f>
        <v>463</v>
      </c>
      <c r="R468" s="7" t="str">
        <f aca="false">IF(MAX(0,I468)*(1-가정!$B$6)*'1억 상환'!$B$6&gt;='1억 상환'!$B$5,A468,"")</f>
        <v/>
      </c>
    </row>
    <row r="469" customFormat="false" ht="15" hidden="false" customHeight="false" outlineLevel="0" collapsed="false">
      <c r="A469" s="7" t="n">
        <v>464</v>
      </c>
      <c r="B469" s="7" t="n">
        <f aca="false">A469*가정!$B$10</f>
        <v>134560000</v>
      </c>
      <c r="C469" s="7" t="n">
        <f aca="false">가정!$B$34</f>
        <v>3590000</v>
      </c>
      <c r="D469" s="7" t="n">
        <f aca="false">ROUNDUP(MAX(0,A469-가정!$B$18)/가정!$B$19,0)</f>
        <v>8</v>
      </c>
      <c r="E469" s="7" t="n">
        <f aca="false">D469*가정!$B$20+ROUNDUP(A469/가정!$B$22,0)*가정!$B$21+ROUNDUP(A469/가정!$B$24,0)*가정!$B$23</f>
        <v>47000000</v>
      </c>
      <c r="F469" s="7" t="n">
        <f aca="false">A469*가정!$B$26+B469*가정!$B$27</f>
        <v>464000</v>
      </c>
      <c r="G469" s="7" t="n">
        <f aca="false">B469*가정!$B$28</f>
        <v>0</v>
      </c>
      <c r="H469" s="7" t="n">
        <f aca="false">B469-C469-E469-F469-G469</f>
        <v>83506000</v>
      </c>
      <c r="I469" s="7" t="n">
        <f aca="false">H469-IF(가정!$B$7=1,가정!$B$5,0)</f>
        <v>79506000</v>
      </c>
      <c r="J469" s="7" t="n">
        <f aca="false">MAX(0,I469)*가정!$B$6</f>
        <v>71555400</v>
      </c>
      <c r="K469" s="7" t="n">
        <f aca="false">가정!$B$5+J469</f>
        <v>75555400</v>
      </c>
      <c r="L469" s="7" t="n">
        <f aca="false">H469-K469</f>
        <v>7950600</v>
      </c>
      <c r="M469" s="8" t="n">
        <f aca="false">IF(B469=0,0,K469/B469)</f>
        <v>0.56149970273484</v>
      </c>
      <c r="N469" s="7" t="n">
        <f aca="false">K469/가정!$B$8</f>
        <v>377777</v>
      </c>
      <c r="O469" s="7" t="n">
        <f aca="false">IF(I469&gt;0,A469,"")</f>
        <v>464</v>
      </c>
      <c r="P469" s="7" t="n">
        <f aca="false">IF(L469&gt;=0,A469,"")</f>
        <v>464</v>
      </c>
      <c r="Q469" s="7" t="n">
        <f aca="false">IF(K469&gt;=가정!$B$32,A469,"")</f>
        <v>464</v>
      </c>
      <c r="R469" s="7" t="str">
        <f aca="false">IF(MAX(0,I469)*(1-가정!$B$6)*'1억 상환'!$B$6&gt;='1억 상환'!$B$5,A469,"")</f>
        <v/>
      </c>
    </row>
    <row r="470" customFormat="false" ht="15" hidden="false" customHeight="false" outlineLevel="0" collapsed="false">
      <c r="A470" s="7" t="n">
        <v>465</v>
      </c>
      <c r="B470" s="7" t="n">
        <f aca="false">A470*가정!$B$10</f>
        <v>134850000</v>
      </c>
      <c r="C470" s="7" t="n">
        <f aca="false">가정!$B$34</f>
        <v>3590000</v>
      </c>
      <c r="D470" s="7" t="n">
        <f aca="false">ROUNDUP(MAX(0,A470-가정!$B$18)/가정!$B$19,0)</f>
        <v>8</v>
      </c>
      <c r="E470" s="7" t="n">
        <f aca="false">D470*가정!$B$20+ROUNDUP(A470/가정!$B$22,0)*가정!$B$21+ROUNDUP(A470/가정!$B$24,0)*가정!$B$23</f>
        <v>47000000</v>
      </c>
      <c r="F470" s="7" t="n">
        <f aca="false">A470*가정!$B$26+B470*가정!$B$27</f>
        <v>465000</v>
      </c>
      <c r="G470" s="7" t="n">
        <f aca="false">B470*가정!$B$28</f>
        <v>0</v>
      </c>
      <c r="H470" s="7" t="n">
        <f aca="false">B470-C470-E470-F470-G470</f>
        <v>83795000</v>
      </c>
      <c r="I470" s="7" t="n">
        <f aca="false">H470-IF(가정!$B$7=1,가정!$B$5,0)</f>
        <v>79795000</v>
      </c>
      <c r="J470" s="7" t="n">
        <f aca="false">MAX(0,I470)*가정!$B$6</f>
        <v>71815500</v>
      </c>
      <c r="K470" s="7" t="n">
        <f aca="false">가정!$B$5+J470</f>
        <v>75815500</v>
      </c>
      <c r="L470" s="7" t="n">
        <f aca="false">H470-K470</f>
        <v>7979500</v>
      </c>
      <c r="M470" s="8" t="n">
        <f aca="false">IF(B470=0,0,K470/B470)</f>
        <v>0.562220986281053</v>
      </c>
      <c r="N470" s="7" t="n">
        <f aca="false">K470/가정!$B$8</f>
        <v>379077.5</v>
      </c>
      <c r="O470" s="7" t="n">
        <f aca="false">IF(I470&gt;0,A470,"")</f>
        <v>465</v>
      </c>
      <c r="P470" s="7" t="n">
        <f aca="false">IF(L470&gt;=0,A470,"")</f>
        <v>465</v>
      </c>
      <c r="Q470" s="7" t="n">
        <f aca="false">IF(K470&gt;=가정!$B$32,A470,"")</f>
        <v>465</v>
      </c>
      <c r="R470" s="7" t="str">
        <f aca="false">IF(MAX(0,I470)*(1-가정!$B$6)*'1억 상환'!$B$6&gt;='1억 상환'!$B$5,A470,"")</f>
        <v/>
      </c>
    </row>
    <row r="471" customFormat="false" ht="15" hidden="false" customHeight="false" outlineLevel="0" collapsed="false">
      <c r="A471" s="7" t="n">
        <v>466</v>
      </c>
      <c r="B471" s="7" t="n">
        <f aca="false">A471*가정!$B$10</f>
        <v>135140000</v>
      </c>
      <c r="C471" s="7" t="n">
        <f aca="false">가정!$B$34</f>
        <v>3590000</v>
      </c>
      <c r="D471" s="7" t="n">
        <f aca="false">ROUNDUP(MAX(0,A471-가정!$B$18)/가정!$B$19,0)</f>
        <v>8</v>
      </c>
      <c r="E471" s="7" t="n">
        <f aca="false">D471*가정!$B$20+ROUNDUP(A471/가정!$B$22,0)*가정!$B$21+ROUNDUP(A471/가정!$B$24,0)*가정!$B$23</f>
        <v>47000000</v>
      </c>
      <c r="F471" s="7" t="n">
        <f aca="false">A471*가정!$B$26+B471*가정!$B$27</f>
        <v>466000</v>
      </c>
      <c r="G471" s="7" t="n">
        <f aca="false">B471*가정!$B$28</f>
        <v>0</v>
      </c>
      <c r="H471" s="7" t="n">
        <f aca="false">B471-C471-E471-F471-G471</f>
        <v>84084000</v>
      </c>
      <c r="I471" s="7" t="n">
        <f aca="false">H471-IF(가정!$B$7=1,가정!$B$5,0)</f>
        <v>80084000</v>
      </c>
      <c r="J471" s="7" t="n">
        <f aca="false">MAX(0,I471)*가정!$B$6</f>
        <v>72075600</v>
      </c>
      <c r="K471" s="7" t="n">
        <f aca="false">가정!$B$5+J471</f>
        <v>76075600</v>
      </c>
      <c r="L471" s="7" t="n">
        <f aca="false">H471-K471</f>
        <v>8008400</v>
      </c>
      <c r="M471" s="8" t="n">
        <f aca="false">IF(B471=0,0,K471/B471)</f>
        <v>0.562939174189729</v>
      </c>
      <c r="N471" s="7" t="n">
        <f aca="false">K471/가정!$B$8</f>
        <v>380378</v>
      </c>
      <c r="O471" s="7" t="n">
        <f aca="false">IF(I471&gt;0,A471,"")</f>
        <v>466</v>
      </c>
      <c r="P471" s="7" t="n">
        <f aca="false">IF(L471&gt;=0,A471,"")</f>
        <v>466</v>
      </c>
      <c r="Q471" s="7" t="n">
        <f aca="false">IF(K471&gt;=가정!$B$32,A471,"")</f>
        <v>466</v>
      </c>
      <c r="R471" s="7" t="str">
        <f aca="false">IF(MAX(0,I471)*(1-가정!$B$6)*'1억 상환'!$B$6&gt;='1억 상환'!$B$5,A471,"")</f>
        <v/>
      </c>
    </row>
    <row r="472" customFormat="false" ht="15" hidden="false" customHeight="false" outlineLevel="0" collapsed="false">
      <c r="A472" s="7" t="n">
        <v>467</v>
      </c>
      <c r="B472" s="7" t="n">
        <f aca="false">A472*가정!$B$10</f>
        <v>135430000</v>
      </c>
      <c r="C472" s="7" t="n">
        <f aca="false">가정!$B$34</f>
        <v>3590000</v>
      </c>
      <c r="D472" s="7" t="n">
        <f aca="false">ROUNDUP(MAX(0,A472-가정!$B$18)/가정!$B$19,0)</f>
        <v>8</v>
      </c>
      <c r="E472" s="7" t="n">
        <f aca="false">D472*가정!$B$20+ROUNDUP(A472/가정!$B$22,0)*가정!$B$21+ROUNDUP(A472/가정!$B$24,0)*가정!$B$23</f>
        <v>47000000</v>
      </c>
      <c r="F472" s="7" t="n">
        <f aca="false">A472*가정!$B$26+B472*가정!$B$27</f>
        <v>467000</v>
      </c>
      <c r="G472" s="7" t="n">
        <f aca="false">B472*가정!$B$28</f>
        <v>0</v>
      </c>
      <c r="H472" s="7" t="n">
        <f aca="false">B472-C472-E472-F472-G472</f>
        <v>84373000</v>
      </c>
      <c r="I472" s="7" t="n">
        <f aca="false">H472-IF(가정!$B$7=1,가정!$B$5,0)</f>
        <v>80373000</v>
      </c>
      <c r="J472" s="7" t="n">
        <f aca="false">MAX(0,I472)*가정!$B$6</f>
        <v>72335700</v>
      </c>
      <c r="K472" s="7" t="n">
        <f aca="false">가정!$B$5+J472</f>
        <v>76335700</v>
      </c>
      <c r="L472" s="7" t="n">
        <f aca="false">H472-K472</f>
        <v>8037300</v>
      </c>
      <c r="M472" s="8" t="n">
        <f aca="false">IF(B472=0,0,K472/B472)</f>
        <v>0.56365428634719</v>
      </c>
      <c r="N472" s="7" t="n">
        <f aca="false">K472/가정!$B$8</f>
        <v>381678.5</v>
      </c>
      <c r="O472" s="7" t="n">
        <f aca="false">IF(I472&gt;0,A472,"")</f>
        <v>467</v>
      </c>
      <c r="P472" s="7" t="n">
        <f aca="false">IF(L472&gt;=0,A472,"")</f>
        <v>467</v>
      </c>
      <c r="Q472" s="7" t="n">
        <f aca="false">IF(K472&gt;=가정!$B$32,A472,"")</f>
        <v>467</v>
      </c>
      <c r="R472" s="7" t="str">
        <f aca="false">IF(MAX(0,I472)*(1-가정!$B$6)*'1억 상환'!$B$6&gt;='1억 상환'!$B$5,A472,"")</f>
        <v/>
      </c>
    </row>
    <row r="473" customFormat="false" ht="15" hidden="false" customHeight="false" outlineLevel="0" collapsed="false">
      <c r="A473" s="7" t="n">
        <v>468</v>
      </c>
      <c r="B473" s="7" t="n">
        <f aca="false">A473*가정!$B$10</f>
        <v>135720000</v>
      </c>
      <c r="C473" s="7" t="n">
        <f aca="false">가정!$B$34</f>
        <v>3590000</v>
      </c>
      <c r="D473" s="7" t="n">
        <f aca="false">ROUNDUP(MAX(0,A473-가정!$B$18)/가정!$B$19,0)</f>
        <v>8</v>
      </c>
      <c r="E473" s="7" t="n">
        <f aca="false">D473*가정!$B$20+ROUNDUP(A473/가정!$B$22,0)*가정!$B$21+ROUNDUP(A473/가정!$B$24,0)*가정!$B$23</f>
        <v>47000000</v>
      </c>
      <c r="F473" s="7" t="n">
        <f aca="false">A473*가정!$B$26+B473*가정!$B$27</f>
        <v>468000</v>
      </c>
      <c r="G473" s="7" t="n">
        <f aca="false">B473*가정!$B$28</f>
        <v>0</v>
      </c>
      <c r="H473" s="7" t="n">
        <f aca="false">B473-C473-E473-F473-G473</f>
        <v>84662000</v>
      </c>
      <c r="I473" s="7" t="n">
        <f aca="false">H473-IF(가정!$B$7=1,가정!$B$5,0)</f>
        <v>80662000</v>
      </c>
      <c r="J473" s="7" t="n">
        <f aca="false">MAX(0,I473)*가정!$B$6</f>
        <v>72595800</v>
      </c>
      <c r="K473" s="7" t="n">
        <f aca="false">가정!$B$5+J473</f>
        <v>76595800</v>
      </c>
      <c r="L473" s="7" t="n">
        <f aca="false">H473-K473</f>
        <v>8066200</v>
      </c>
      <c r="M473" s="8" t="n">
        <f aca="false">IF(B473=0,0,K473/B473)</f>
        <v>0.564366342469791</v>
      </c>
      <c r="N473" s="7" t="n">
        <f aca="false">K473/가정!$B$8</f>
        <v>382979</v>
      </c>
      <c r="O473" s="7" t="n">
        <f aca="false">IF(I473&gt;0,A473,"")</f>
        <v>468</v>
      </c>
      <c r="P473" s="7" t="n">
        <f aca="false">IF(L473&gt;=0,A473,"")</f>
        <v>468</v>
      </c>
      <c r="Q473" s="7" t="n">
        <f aca="false">IF(K473&gt;=가정!$B$32,A473,"")</f>
        <v>468</v>
      </c>
      <c r="R473" s="7" t="str">
        <f aca="false">IF(MAX(0,I473)*(1-가정!$B$6)*'1억 상환'!$B$6&gt;='1억 상환'!$B$5,A473,"")</f>
        <v/>
      </c>
    </row>
    <row r="474" customFormat="false" ht="15" hidden="false" customHeight="false" outlineLevel="0" collapsed="false">
      <c r="A474" s="7" t="n">
        <v>469</v>
      </c>
      <c r="B474" s="7" t="n">
        <f aca="false">A474*가정!$B$10</f>
        <v>136010000</v>
      </c>
      <c r="C474" s="7" t="n">
        <f aca="false">가정!$B$34</f>
        <v>3590000</v>
      </c>
      <c r="D474" s="7" t="n">
        <f aca="false">ROUNDUP(MAX(0,A474-가정!$B$18)/가정!$B$19,0)</f>
        <v>8</v>
      </c>
      <c r="E474" s="7" t="n">
        <f aca="false">D474*가정!$B$20+ROUNDUP(A474/가정!$B$22,0)*가정!$B$21+ROUNDUP(A474/가정!$B$24,0)*가정!$B$23</f>
        <v>47000000</v>
      </c>
      <c r="F474" s="7" t="n">
        <f aca="false">A474*가정!$B$26+B474*가정!$B$27</f>
        <v>469000</v>
      </c>
      <c r="G474" s="7" t="n">
        <f aca="false">B474*가정!$B$28</f>
        <v>0</v>
      </c>
      <c r="H474" s="7" t="n">
        <f aca="false">B474-C474-E474-F474-G474</f>
        <v>84951000</v>
      </c>
      <c r="I474" s="7" t="n">
        <f aca="false">H474-IF(가정!$B$7=1,가정!$B$5,0)</f>
        <v>80951000</v>
      </c>
      <c r="J474" s="7" t="n">
        <f aca="false">MAX(0,I474)*가정!$B$6</f>
        <v>72855900</v>
      </c>
      <c r="K474" s="7" t="n">
        <f aca="false">가정!$B$5+J474</f>
        <v>76855900</v>
      </c>
      <c r="L474" s="7" t="n">
        <f aca="false">H474-K474</f>
        <v>8095100</v>
      </c>
      <c r="M474" s="8" t="n">
        <f aca="false">IF(B474=0,0,K474/B474)</f>
        <v>0.565075362105728</v>
      </c>
      <c r="N474" s="7" t="n">
        <f aca="false">K474/가정!$B$8</f>
        <v>384279.5</v>
      </c>
      <c r="O474" s="7" t="n">
        <f aca="false">IF(I474&gt;0,A474,"")</f>
        <v>469</v>
      </c>
      <c r="P474" s="7" t="n">
        <f aca="false">IF(L474&gt;=0,A474,"")</f>
        <v>469</v>
      </c>
      <c r="Q474" s="7" t="n">
        <f aca="false">IF(K474&gt;=가정!$B$32,A474,"")</f>
        <v>469</v>
      </c>
      <c r="R474" s="7" t="str">
        <f aca="false">IF(MAX(0,I474)*(1-가정!$B$6)*'1억 상환'!$B$6&gt;='1억 상환'!$B$5,A474,"")</f>
        <v/>
      </c>
    </row>
    <row r="475" customFormat="false" ht="15" hidden="false" customHeight="false" outlineLevel="0" collapsed="false">
      <c r="A475" s="7" t="n">
        <v>470</v>
      </c>
      <c r="B475" s="7" t="n">
        <f aca="false">A475*가정!$B$10</f>
        <v>136300000</v>
      </c>
      <c r="C475" s="7" t="n">
        <f aca="false">가정!$B$34</f>
        <v>3590000</v>
      </c>
      <c r="D475" s="7" t="n">
        <f aca="false">ROUNDUP(MAX(0,A475-가정!$B$18)/가정!$B$19,0)</f>
        <v>8</v>
      </c>
      <c r="E475" s="7" t="n">
        <f aca="false">D475*가정!$B$20+ROUNDUP(A475/가정!$B$22,0)*가정!$B$21+ROUNDUP(A475/가정!$B$24,0)*가정!$B$23</f>
        <v>47000000</v>
      </c>
      <c r="F475" s="7" t="n">
        <f aca="false">A475*가정!$B$26+B475*가정!$B$27</f>
        <v>470000</v>
      </c>
      <c r="G475" s="7" t="n">
        <f aca="false">B475*가정!$B$28</f>
        <v>0</v>
      </c>
      <c r="H475" s="7" t="n">
        <f aca="false">B475-C475-E475-F475-G475</f>
        <v>85240000</v>
      </c>
      <c r="I475" s="7" t="n">
        <f aca="false">H475-IF(가정!$B$7=1,가정!$B$5,0)</f>
        <v>81240000</v>
      </c>
      <c r="J475" s="7" t="n">
        <f aca="false">MAX(0,I475)*가정!$B$6</f>
        <v>73116000</v>
      </c>
      <c r="K475" s="7" t="n">
        <f aca="false">가정!$B$5+J475</f>
        <v>77116000</v>
      </c>
      <c r="L475" s="7" t="n">
        <f aca="false">H475-K475</f>
        <v>8124000</v>
      </c>
      <c r="M475" s="8" t="n">
        <f aca="false">IF(B475=0,0,K475/B475)</f>
        <v>0.565781364636831</v>
      </c>
      <c r="N475" s="7" t="n">
        <f aca="false">K475/가정!$B$8</f>
        <v>385580</v>
      </c>
      <c r="O475" s="7" t="n">
        <f aca="false">IF(I475&gt;0,A475,"")</f>
        <v>470</v>
      </c>
      <c r="P475" s="7" t="n">
        <f aca="false">IF(L475&gt;=0,A475,"")</f>
        <v>470</v>
      </c>
      <c r="Q475" s="7" t="n">
        <f aca="false">IF(K475&gt;=가정!$B$32,A475,"")</f>
        <v>470</v>
      </c>
      <c r="R475" s="7" t="str">
        <f aca="false">IF(MAX(0,I475)*(1-가정!$B$6)*'1억 상환'!$B$6&gt;='1억 상환'!$B$5,A475,"")</f>
        <v/>
      </c>
    </row>
    <row r="476" customFormat="false" ht="15" hidden="false" customHeight="false" outlineLevel="0" collapsed="false">
      <c r="A476" s="7" t="n">
        <v>471</v>
      </c>
      <c r="B476" s="7" t="n">
        <f aca="false">A476*가정!$B$10</f>
        <v>136590000</v>
      </c>
      <c r="C476" s="7" t="n">
        <f aca="false">가정!$B$34</f>
        <v>3590000</v>
      </c>
      <c r="D476" s="7" t="n">
        <f aca="false">ROUNDUP(MAX(0,A476-가정!$B$18)/가정!$B$19,0)</f>
        <v>8</v>
      </c>
      <c r="E476" s="7" t="n">
        <f aca="false">D476*가정!$B$20+ROUNDUP(A476/가정!$B$22,0)*가정!$B$21+ROUNDUP(A476/가정!$B$24,0)*가정!$B$23</f>
        <v>47000000</v>
      </c>
      <c r="F476" s="7" t="n">
        <f aca="false">A476*가정!$B$26+B476*가정!$B$27</f>
        <v>471000</v>
      </c>
      <c r="G476" s="7" t="n">
        <f aca="false">B476*가정!$B$28</f>
        <v>0</v>
      </c>
      <c r="H476" s="7" t="n">
        <f aca="false">B476-C476-E476-F476-G476</f>
        <v>85529000</v>
      </c>
      <c r="I476" s="7" t="n">
        <f aca="false">H476-IF(가정!$B$7=1,가정!$B$5,0)</f>
        <v>81529000</v>
      </c>
      <c r="J476" s="7" t="n">
        <f aca="false">MAX(0,I476)*가정!$B$6</f>
        <v>73376100</v>
      </c>
      <c r="K476" s="7" t="n">
        <f aca="false">가정!$B$5+J476</f>
        <v>77376100</v>
      </c>
      <c r="L476" s="7" t="n">
        <f aca="false">H476-K476</f>
        <v>8152900</v>
      </c>
      <c r="M476" s="8" t="n">
        <f aca="false">IF(B476=0,0,K476/B476)</f>
        <v>0.566484369280328</v>
      </c>
      <c r="N476" s="7" t="n">
        <f aca="false">K476/가정!$B$8</f>
        <v>386880.5</v>
      </c>
      <c r="O476" s="7" t="n">
        <f aca="false">IF(I476&gt;0,A476,"")</f>
        <v>471</v>
      </c>
      <c r="P476" s="7" t="n">
        <f aca="false">IF(L476&gt;=0,A476,"")</f>
        <v>471</v>
      </c>
      <c r="Q476" s="7" t="n">
        <f aca="false">IF(K476&gt;=가정!$B$32,A476,"")</f>
        <v>471</v>
      </c>
      <c r="R476" s="7" t="str">
        <f aca="false">IF(MAX(0,I476)*(1-가정!$B$6)*'1억 상환'!$B$6&gt;='1억 상환'!$B$5,A476,"")</f>
        <v/>
      </c>
    </row>
    <row r="477" customFormat="false" ht="15" hidden="false" customHeight="false" outlineLevel="0" collapsed="false">
      <c r="A477" s="7" t="n">
        <v>472</v>
      </c>
      <c r="B477" s="7" t="n">
        <f aca="false">A477*가정!$B$10</f>
        <v>136880000</v>
      </c>
      <c r="C477" s="7" t="n">
        <f aca="false">가정!$B$34</f>
        <v>3590000</v>
      </c>
      <c r="D477" s="7" t="n">
        <f aca="false">ROUNDUP(MAX(0,A477-가정!$B$18)/가정!$B$19,0)</f>
        <v>8</v>
      </c>
      <c r="E477" s="7" t="n">
        <f aca="false">D477*가정!$B$20+ROUNDUP(A477/가정!$B$22,0)*가정!$B$21+ROUNDUP(A477/가정!$B$24,0)*가정!$B$23</f>
        <v>47000000</v>
      </c>
      <c r="F477" s="7" t="n">
        <f aca="false">A477*가정!$B$26+B477*가정!$B$27</f>
        <v>472000</v>
      </c>
      <c r="G477" s="7" t="n">
        <f aca="false">B477*가정!$B$28</f>
        <v>0</v>
      </c>
      <c r="H477" s="7" t="n">
        <f aca="false">B477-C477-E477-F477-G477</f>
        <v>85818000</v>
      </c>
      <c r="I477" s="7" t="n">
        <f aca="false">H477-IF(가정!$B$7=1,가정!$B$5,0)</f>
        <v>81818000</v>
      </c>
      <c r="J477" s="7" t="n">
        <f aca="false">MAX(0,I477)*가정!$B$6</f>
        <v>73636200</v>
      </c>
      <c r="K477" s="7" t="n">
        <f aca="false">가정!$B$5+J477</f>
        <v>77636200</v>
      </c>
      <c r="L477" s="7" t="n">
        <f aca="false">H477-K477</f>
        <v>8181800</v>
      </c>
      <c r="M477" s="8" t="n">
        <f aca="false">IF(B477=0,0,K477/B477)</f>
        <v>0.56718439509059</v>
      </c>
      <c r="N477" s="7" t="n">
        <f aca="false">K477/가정!$B$8</f>
        <v>388181</v>
      </c>
      <c r="O477" s="7" t="n">
        <f aca="false">IF(I477&gt;0,A477,"")</f>
        <v>472</v>
      </c>
      <c r="P477" s="7" t="n">
        <f aca="false">IF(L477&gt;=0,A477,"")</f>
        <v>472</v>
      </c>
      <c r="Q477" s="7" t="n">
        <f aca="false">IF(K477&gt;=가정!$B$32,A477,"")</f>
        <v>472</v>
      </c>
      <c r="R477" s="7" t="str">
        <f aca="false">IF(MAX(0,I477)*(1-가정!$B$6)*'1억 상환'!$B$6&gt;='1억 상환'!$B$5,A477,"")</f>
        <v/>
      </c>
    </row>
    <row r="478" customFormat="false" ht="15" hidden="false" customHeight="false" outlineLevel="0" collapsed="false">
      <c r="A478" s="7" t="n">
        <v>473</v>
      </c>
      <c r="B478" s="7" t="n">
        <f aca="false">A478*가정!$B$10</f>
        <v>137170000</v>
      </c>
      <c r="C478" s="7" t="n">
        <f aca="false">가정!$B$34</f>
        <v>3590000</v>
      </c>
      <c r="D478" s="7" t="n">
        <f aca="false">ROUNDUP(MAX(0,A478-가정!$B$18)/가정!$B$19,0)</f>
        <v>8</v>
      </c>
      <c r="E478" s="7" t="n">
        <f aca="false">D478*가정!$B$20+ROUNDUP(A478/가정!$B$22,0)*가정!$B$21+ROUNDUP(A478/가정!$B$24,0)*가정!$B$23</f>
        <v>47000000</v>
      </c>
      <c r="F478" s="7" t="n">
        <f aca="false">A478*가정!$B$26+B478*가정!$B$27</f>
        <v>473000</v>
      </c>
      <c r="G478" s="7" t="n">
        <f aca="false">B478*가정!$B$28</f>
        <v>0</v>
      </c>
      <c r="H478" s="7" t="n">
        <f aca="false">B478-C478-E478-F478-G478</f>
        <v>86107000</v>
      </c>
      <c r="I478" s="7" t="n">
        <f aca="false">H478-IF(가정!$B$7=1,가정!$B$5,0)</f>
        <v>82107000</v>
      </c>
      <c r="J478" s="7" t="n">
        <f aca="false">MAX(0,I478)*가정!$B$6</f>
        <v>73896300</v>
      </c>
      <c r="K478" s="7" t="n">
        <f aca="false">가정!$B$5+J478</f>
        <v>77896300</v>
      </c>
      <c r="L478" s="7" t="n">
        <f aca="false">H478-K478</f>
        <v>8210700</v>
      </c>
      <c r="M478" s="8" t="n">
        <f aca="false">IF(B478=0,0,K478/B478)</f>
        <v>0.567881460960852</v>
      </c>
      <c r="N478" s="7" t="n">
        <f aca="false">K478/가정!$B$8</f>
        <v>389481.5</v>
      </c>
      <c r="O478" s="7" t="n">
        <f aca="false">IF(I478&gt;0,A478,"")</f>
        <v>473</v>
      </c>
      <c r="P478" s="7" t="n">
        <f aca="false">IF(L478&gt;=0,A478,"")</f>
        <v>473</v>
      </c>
      <c r="Q478" s="7" t="n">
        <f aca="false">IF(K478&gt;=가정!$B$32,A478,"")</f>
        <v>473</v>
      </c>
      <c r="R478" s="7" t="str">
        <f aca="false">IF(MAX(0,I478)*(1-가정!$B$6)*'1억 상환'!$B$6&gt;='1억 상환'!$B$5,A478,"")</f>
        <v/>
      </c>
    </row>
    <row r="479" customFormat="false" ht="15" hidden="false" customHeight="false" outlineLevel="0" collapsed="false">
      <c r="A479" s="7" t="n">
        <v>474</v>
      </c>
      <c r="B479" s="7" t="n">
        <f aca="false">A479*가정!$B$10</f>
        <v>137460000</v>
      </c>
      <c r="C479" s="7" t="n">
        <f aca="false">가정!$B$34</f>
        <v>3590000</v>
      </c>
      <c r="D479" s="7" t="n">
        <f aca="false">ROUNDUP(MAX(0,A479-가정!$B$18)/가정!$B$19,0)</f>
        <v>8</v>
      </c>
      <c r="E479" s="7" t="n">
        <f aca="false">D479*가정!$B$20+ROUNDUP(A479/가정!$B$22,0)*가정!$B$21+ROUNDUP(A479/가정!$B$24,0)*가정!$B$23</f>
        <v>47000000</v>
      </c>
      <c r="F479" s="7" t="n">
        <f aca="false">A479*가정!$B$26+B479*가정!$B$27</f>
        <v>474000</v>
      </c>
      <c r="G479" s="7" t="n">
        <f aca="false">B479*가정!$B$28</f>
        <v>0</v>
      </c>
      <c r="H479" s="7" t="n">
        <f aca="false">B479-C479-E479-F479-G479</f>
        <v>86396000</v>
      </c>
      <c r="I479" s="7" t="n">
        <f aca="false">H479-IF(가정!$B$7=1,가정!$B$5,0)</f>
        <v>82396000</v>
      </c>
      <c r="J479" s="7" t="n">
        <f aca="false">MAX(0,I479)*가정!$B$6</f>
        <v>74156400</v>
      </c>
      <c r="K479" s="7" t="n">
        <f aca="false">가정!$B$5+J479</f>
        <v>78156400</v>
      </c>
      <c r="L479" s="7" t="n">
        <f aca="false">H479-K479</f>
        <v>8239600</v>
      </c>
      <c r="M479" s="8" t="n">
        <f aca="false">IF(B479=0,0,K479/B479)</f>
        <v>0.568575585624909</v>
      </c>
      <c r="N479" s="7" t="n">
        <f aca="false">K479/가정!$B$8</f>
        <v>390782</v>
      </c>
      <c r="O479" s="7" t="n">
        <f aca="false">IF(I479&gt;0,A479,"")</f>
        <v>474</v>
      </c>
      <c r="P479" s="7" t="n">
        <f aca="false">IF(L479&gt;=0,A479,"")</f>
        <v>474</v>
      </c>
      <c r="Q479" s="7" t="n">
        <f aca="false">IF(K479&gt;=가정!$B$32,A479,"")</f>
        <v>474</v>
      </c>
      <c r="R479" s="7" t="str">
        <f aca="false">IF(MAX(0,I479)*(1-가정!$B$6)*'1억 상환'!$B$6&gt;='1억 상환'!$B$5,A479,"")</f>
        <v/>
      </c>
    </row>
    <row r="480" customFormat="false" ht="15" hidden="false" customHeight="false" outlineLevel="0" collapsed="false">
      <c r="A480" s="7" t="n">
        <v>475</v>
      </c>
      <c r="B480" s="7" t="n">
        <f aca="false">A480*가정!$B$10</f>
        <v>137750000</v>
      </c>
      <c r="C480" s="7" t="n">
        <f aca="false">가정!$B$34</f>
        <v>3590000</v>
      </c>
      <c r="D480" s="7" t="n">
        <f aca="false">ROUNDUP(MAX(0,A480-가정!$B$18)/가정!$B$19,0)</f>
        <v>8</v>
      </c>
      <c r="E480" s="7" t="n">
        <f aca="false">D480*가정!$B$20+ROUNDUP(A480/가정!$B$22,0)*가정!$B$21+ROUNDUP(A480/가정!$B$24,0)*가정!$B$23</f>
        <v>47000000</v>
      </c>
      <c r="F480" s="7" t="n">
        <f aca="false">A480*가정!$B$26+B480*가정!$B$27</f>
        <v>475000</v>
      </c>
      <c r="G480" s="7" t="n">
        <f aca="false">B480*가정!$B$28</f>
        <v>0</v>
      </c>
      <c r="H480" s="7" t="n">
        <f aca="false">B480-C480-E480-F480-G480</f>
        <v>86685000</v>
      </c>
      <c r="I480" s="7" t="n">
        <f aca="false">H480-IF(가정!$B$7=1,가정!$B$5,0)</f>
        <v>82685000</v>
      </c>
      <c r="J480" s="7" t="n">
        <f aca="false">MAX(0,I480)*가정!$B$6</f>
        <v>74416500</v>
      </c>
      <c r="K480" s="7" t="n">
        <f aca="false">가정!$B$5+J480</f>
        <v>78416500</v>
      </c>
      <c r="L480" s="7" t="n">
        <f aca="false">H480-K480</f>
        <v>8268500</v>
      </c>
      <c r="M480" s="8" t="n">
        <f aca="false">IF(B480=0,0,K480/B480)</f>
        <v>0.569266787658802</v>
      </c>
      <c r="N480" s="7" t="n">
        <f aca="false">K480/가정!$B$8</f>
        <v>392082.5</v>
      </c>
      <c r="O480" s="7" t="n">
        <f aca="false">IF(I480&gt;0,A480,"")</f>
        <v>475</v>
      </c>
      <c r="P480" s="7" t="n">
        <f aca="false">IF(L480&gt;=0,A480,"")</f>
        <v>475</v>
      </c>
      <c r="Q480" s="7" t="n">
        <f aca="false">IF(K480&gt;=가정!$B$32,A480,"")</f>
        <v>475</v>
      </c>
      <c r="R480" s="7" t="str">
        <f aca="false">IF(MAX(0,I480)*(1-가정!$B$6)*'1억 상환'!$B$6&gt;='1억 상환'!$B$5,A480,"")</f>
        <v/>
      </c>
    </row>
    <row r="481" customFormat="false" ht="15" hidden="false" customHeight="false" outlineLevel="0" collapsed="false">
      <c r="A481" s="7" t="n">
        <v>476</v>
      </c>
      <c r="B481" s="7" t="n">
        <f aca="false">A481*가정!$B$10</f>
        <v>138040000</v>
      </c>
      <c r="C481" s="7" t="n">
        <f aca="false">가정!$B$34</f>
        <v>3590000</v>
      </c>
      <c r="D481" s="7" t="n">
        <f aca="false">ROUNDUP(MAX(0,A481-가정!$B$18)/가정!$B$19,0)</f>
        <v>8</v>
      </c>
      <c r="E481" s="7" t="n">
        <f aca="false">D481*가정!$B$20+ROUNDUP(A481/가정!$B$22,0)*가정!$B$21+ROUNDUP(A481/가정!$B$24,0)*가정!$B$23</f>
        <v>47000000</v>
      </c>
      <c r="F481" s="7" t="n">
        <f aca="false">A481*가정!$B$26+B481*가정!$B$27</f>
        <v>476000</v>
      </c>
      <c r="G481" s="7" t="n">
        <f aca="false">B481*가정!$B$28</f>
        <v>0</v>
      </c>
      <c r="H481" s="7" t="n">
        <f aca="false">B481-C481-E481-F481-G481</f>
        <v>86974000</v>
      </c>
      <c r="I481" s="7" t="n">
        <f aca="false">H481-IF(가정!$B$7=1,가정!$B$5,0)</f>
        <v>82974000</v>
      </c>
      <c r="J481" s="7" t="n">
        <f aca="false">MAX(0,I481)*가정!$B$6</f>
        <v>74676600</v>
      </c>
      <c r="K481" s="7" t="n">
        <f aca="false">가정!$B$5+J481</f>
        <v>78676600</v>
      </c>
      <c r="L481" s="7" t="n">
        <f aca="false">H481-K481</f>
        <v>8297400</v>
      </c>
      <c r="M481" s="8" t="n">
        <f aca="false">IF(B481=0,0,K481/B481)</f>
        <v>0.569955085482469</v>
      </c>
      <c r="N481" s="7" t="n">
        <f aca="false">K481/가정!$B$8</f>
        <v>393383</v>
      </c>
      <c r="O481" s="7" t="n">
        <f aca="false">IF(I481&gt;0,A481,"")</f>
        <v>476</v>
      </c>
      <c r="P481" s="7" t="n">
        <f aca="false">IF(L481&gt;=0,A481,"")</f>
        <v>476</v>
      </c>
      <c r="Q481" s="7" t="n">
        <f aca="false">IF(K481&gt;=가정!$B$32,A481,"")</f>
        <v>476</v>
      </c>
      <c r="R481" s="7" t="str">
        <f aca="false">IF(MAX(0,I481)*(1-가정!$B$6)*'1억 상환'!$B$6&gt;='1억 상환'!$B$5,A481,"")</f>
        <v/>
      </c>
    </row>
    <row r="482" customFormat="false" ht="15" hidden="false" customHeight="false" outlineLevel="0" collapsed="false">
      <c r="A482" s="7" t="n">
        <v>477</v>
      </c>
      <c r="B482" s="7" t="n">
        <f aca="false">A482*가정!$B$10</f>
        <v>138330000</v>
      </c>
      <c r="C482" s="7" t="n">
        <f aca="false">가정!$B$34</f>
        <v>3590000</v>
      </c>
      <c r="D482" s="7" t="n">
        <f aca="false">ROUNDUP(MAX(0,A482-가정!$B$18)/가정!$B$19,0)</f>
        <v>8</v>
      </c>
      <c r="E482" s="7" t="n">
        <f aca="false">D482*가정!$B$20+ROUNDUP(A482/가정!$B$22,0)*가정!$B$21+ROUNDUP(A482/가정!$B$24,0)*가정!$B$23</f>
        <v>47000000</v>
      </c>
      <c r="F482" s="7" t="n">
        <f aca="false">A482*가정!$B$26+B482*가정!$B$27</f>
        <v>477000</v>
      </c>
      <c r="G482" s="7" t="n">
        <f aca="false">B482*가정!$B$28</f>
        <v>0</v>
      </c>
      <c r="H482" s="7" t="n">
        <f aca="false">B482-C482-E482-F482-G482</f>
        <v>87263000</v>
      </c>
      <c r="I482" s="7" t="n">
        <f aca="false">H482-IF(가정!$B$7=1,가정!$B$5,0)</f>
        <v>83263000</v>
      </c>
      <c r="J482" s="7" t="n">
        <f aca="false">MAX(0,I482)*가정!$B$6</f>
        <v>74936700</v>
      </c>
      <c r="K482" s="7" t="n">
        <f aca="false">가정!$B$5+J482</f>
        <v>78936700</v>
      </c>
      <c r="L482" s="7" t="n">
        <f aca="false">H482-K482</f>
        <v>8326300</v>
      </c>
      <c r="M482" s="8" t="n">
        <f aca="false">IF(B482=0,0,K482/B482)</f>
        <v>0.570640497361382</v>
      </c>
      <c r="N482" s="7" t="n">
        <f aca="false">K482/가정!$B$8</f>
        <v>394683.5</v>
      </c>
      <c r="O482" s="7" t="n">
        <f aca="false">IF(I482&gt;0,A482,"")</f>
        <v>477</v>
      </c>
      <c r="P482" s="7" t="n">
        <f aca="false">IF(L482&gt;=0,A482,"")</f>
        <v>477</v>
      </c>
      <c r="Q482" s="7" t="n">
        <f aca="false">IF(K482&gt;=가정!$B$32,A482,"")</f>
        <v>477</v>
      </c>
      <c r="R482" s="7" t="str">
        <f aca="false">IF(MAX(0,I482)*(1-가정!$B$6)*'1억 상환'!$B$6&gt;='1억 상환'!$B$5,A482,"")</f>
        <v/>
      </c>
    </row>
    <row r="483" customFormat="false" ht="15" hidden="false" customHeight="false" outlineLevel="0" collapsed="false">
      <c r="A483" s="7" t="n">
        <v>478</v>
      </c>
      <c r="B483" s="7" t="n">
        <f aca="false">A483*가정!$B$10</f>
        <v>138620000</v>
      </c>
      <c r="C483" s="7" t="n">
        <f aca="false">가정!$B$34</f>
        <v>3590000</v>
      </c>
      <c r="D483" s="7" t="n">
        <f aca="false">ROUNDUP(MAX(0,A483-가정!$B$18)/가정!$B$19,0)</f>
        <v>8</v>
      </c>
      <c r="E483" s="7" t="n">
        <f aca="false">D483*가정!$B$20+ROUNDUP(A483/가정!$B$22,0)*가정!$B$21+ROUNDUP(A483/가정!$B$24,0)*가정!$B$23</f>
        <v>47000000</v>
      </c>
      <c r="F483" s="7" t="n">
        <f aca="false">A483*가정!$B$26+B483*가정!$B$27</f>
        <v>478000</v>
      </c>
      <c r="G483" s="7" t="n">
        <f aca="false">B483*가정!$B$28</f>
        <v>0</v>
      </c>
      <c r="H483" s="7" t="n">
        <f aca="false">B483-C483-E483-F483-G483</f>
        <v>87552000</v>
      </c>
      <c r="I483" s="7" t="n">
        <f aca="false">H483-IF(가정!$B$7=1,가정!$B$5,0)</f>
        <v>83552000</v>
      </c>
      <c r="J483" s="7" t="n">
        <f aca="false">MAX(0,I483)*가정!$B$6</f>
        <v>75196800</v>
      </c>
      <c r="K483" s="7" t="n">
        <f aca="false">가정!$B$5+J483</f>
        <v>79196800</v>
      </c>
      <c r="L483" s="7" t="n">
        <f aca="false">H483-K483</f>
        <v>8355200</v>
      </c>
      <c r="M483" s="8" t="n">
        <f aca="false">IF(B483=0,0,K483/B483)</f>
        <v>0.571323041408166</v>
      </c>
      <c r="N483" s="7" t="n">
        <f aca="false">K483/가정!$B$8</f>
        <v>395984</v>
      </c>
      <c r="O483" s="7" t="n">
        <f aca="false">IF(I483&gt;0,A483,"")</f>
        <v>478</v>
      </c>
      <c r="P483" s="7" t="n">
        <f aca="false">IF(L483&gt;=0,A483,"")</f>
        <v>478</v>
      </c>
      <c r="Q483" s="7" t="n">
        <f aca="false">IF(K483&gt;=가정!$B$32,A483,"")</f>
        <v>478</v>
      </c>
      <c r="R483" s="7" t="n">
        <f aca="false">IF(MAX(0,I483)*(1-가정!$B$6)*'1억 상환'!$B$6&gt;='1억 상환'!$B$5,A483,"")</f>
        <v>478</v>
      </c>
    </row>
    <row r="484" customFormat="false" ht="15" hidden="false" customHeight="false" outlineLevel="0" collapsed="false">
      <c r="A484" s="7" t="n">
        <v>479</v>
      </c>
      <c r="B484" s="7" t="n">
        <f aca="false">A484*가정!$B$10</f>
        <v>138910000</v>
      </c>
      <c r="C484" s="7" t="n">
        <f aca="false">가정!$B$34</f>
        <v>3590000</v>
      </c>
      <c r="D484" s="7" t="n">
        <f aca="false">ROUNDUP(MAX(0,A484-가정!$B$18)/가정!$B$19,0)</f>
        <v>8</v>
      </c>
      <c r="E484" s="7" t="n">
        <f aca="false">D484*가정!$B$20+ROUNDUP(A484/가정!$B$22,0)*가정!$B$21+ROUNDUP(A484/가정!$B$24,0)*가정!$B$23</f>
        <v>47000000</v>
      </c>
      <c r="F484" s="7" t="n">
        <f aca="false">A484*가정!$B$26+B484*가정!$B$27</f>
        <v>479000</v>
      </c>
      <c r="G484" s="7" t="n">
        <f aca="false">B484*가정!$B$28</f>
        <v>0</v>
      </c>
      <c r="H484" s="7" t="n">
        <f aca="false">B484-C484-E484-F484-G484</f>
        <v>87841000</v>
      </c>
      <c r="I484" s="7" t="n">
        <f aca="false">H484-IF(가정!$B$7=1,가정!$B$5,0)</f>
        <v>83841000</v>
      </c>
      <c r="J484" s="7" t="n">
        <f aca="false">MAX(0,I484)*가정!$B$6</f>
        <v>75456900</v>
      </c>
      <c r="K484" s="7" t="n">
        <f aca="false">가정!$B$5+J484</f>
        <v>79456900</v>
      </c>
      <c r="L484" s="7" t="n">
        <f aca="false">H484-K484</f>
        <v>8384100</v>
      </c>
      <c r="M484" s="8" t="n">
        <f aca="false">IF(B484=0,0,K484/B484)</f>
        <v>0.572002735584191</v>
      </c>
      <c r="N484" s="7" t="n">
        <f aca="false">K484/가정!$B$8</f>
        <v>397284.5</v>
      </c>
      <c r="O484" s="7" t="n">
        <f aca="false">IF(I484&gt;0,A484,"")</f>
        <v>479</v>
      </c>
      <c r="P484" s="7" t="n">
        <f aca="false">IF(L484&gt;=0,A484,"")</f>
        <v>479</v>
      </c>
      <c r="Q484" s="7" t="n">
        <f aca="false">IF(K484&gt;=가정!$B$32,A484,"")</f>
        <v>479</v>
      </c>
      <c r="R484" s="7" t="n">
        <f aca="false">IF(MAX(0,I484)*(1-가정!$B$6)*'1억 상환'!$B$6&gt;='1억 상환'!$B$5,A484,"")</f>
        <v>479</v>
      </c>
    </row>
    <row r="485" customFormat="false" ht="15" hidden="false" customHeight="false" outlineLevel="0" collapsed="false">
      <c r="A485" s="7" t="n">
        <v>480</v>
      </c>
      <c r="B485" s="7" t="n">
        <f aca="false">A485*가정!$B$10</f>
        <v>139200000</v>
      </c>
      <c r="C485" s="7" t="n">
        <f aca="false">가정!$B$34</f>
        <v>3590000</v>
      </c>
      <c r="D485" s="7" t="n">
        <f aca="false">ROUNDUP(MAX(0,A485-가정!$B$18)/가정!$B$19,0)</f>
        <v>8</v>
      </c>
      <c r="E485" s="7" t="n">
        <f aca="false">D485*가정!$B$20+ROUNDUP(A485/가정!$B$22,0)*가정!$B$21+ROUNDUP(A485/가정!$B$24,0)*가정!$B$23</f>
        <v>47000000</v>
      </c>
      <c r="F485" s="7" t="n">
        <f aca="false">A485*가정!$B$26+B485*가정!$B$27</f>
        <v>480000</v>
      </c>
      <c r="G485" s="7" t="n">
        <f aca="false">B485*가정!$B$28</f>
        <v>0</v>
      </c>
      <c r="H485" s="7" t="n">
        <f aca="false">B485-C485-E485-F485-G485</f>
        <v>88130000</v>
      </c>
      <c r="I485" s="7" t="n">
        <f aca="false">H485-IF(가정!$B$7=1,가정!$B$5,0)</f>
        <v>84130000</v>
      </c>
      <c r="J485" s="7" t="n">
        <f aca="false">MAX(0,I485)*가정!$B$6</f>
        <v>75717000</v>
      </c>
      <c r="K485" s="7" t="n">
        <f aca="false">가정!$B$5+J485</f>
        <v>79717000</v>
      </c>
      <c r="L485" s="7" t="n">
        <f aca="false">H485-K485</f>
        <v>8413000</v>
      </c>
      <c r="M485" s="8" t="n">
        <f aca="false">IF(B485=0,0,K485/B485)</f>
        <v>0.572679597701149</v>
      </c>
      <c r="N485" s="7" t="n">
        <f aca="false">K485/가정!$B$8</f>
        <v>398585</v>
      </c>
      <c r="O485" s="7" t="n">
        <f aca="false">IF(I485&gt;0,A485,"")</f>
        <v>480</v>
      </c>
      <c r="P485" s="7" t="n">
        <f aca="false">IF(L485&gt;=0,A485,"")</f>
        <v>480</v>
      </c>
      <c r="Q485" s="7" t="n">
        <f aca="false">IF(K485&gt;=가정!$B$32,A485,"")</f>
        <v>480</v>
      </c>
      <c r="R485" s="7" t="n">
        <f aca="false">IF(MAX(0,I485)*(1-가정!$B$6)*'1억 상환'!$B$6&gt;='1억 상환'!$B$5,A485,"")</f>
        <v>480</v>
      </c>
    </row>
    <row r="486" customFormat="false" ht="15" hidden="false" customHeight="false" outlineLevel="0" collapsed="false">
      <c r="A486" s="7" t="n">
        <v>481</v>
      </c>
      <c r="B486" s="7" t="n">
        <f aca="false">A486*가정!$B$10</f>
        <v>139490000</v>
      </c>
      <c r="C486" s="7" t="n">
        <f aca="false">가정!$B$34</f>
        <v>3590000</v>
      </c>
      <c r="D486" s="7" t="n">
        <f aca="false">ROUNDUP(MAX(0,A486-가정!$B$18)/가정!$B$19,0)</f>
        <v>9</v>
      </c>
      <c r="E486" s="7" t="n">
        <f aca="false">D486*가정!$B$20+ROUNDUP(A486/가정!$B$22,0)*가정!$B$21+ROUNDUP(A486/가정!$B$24,0)*가정!$B$23</f>
        <v>51500000</v>
      </c>
      <c r="F486" s="7" t="n">
        <f aca="false">A486*가정!$B$26+B486*가정!$B$27</f>
        <v>481000</v>
      </c>
      <c r="G486" s="7" t="n">
        <f aca="false">B486*가정!$B$28</f>
        <v>0</v>
      </c>
      <c r="H486" s="7" t="n">
        <f aca="false">B486-C486-E486-F486-G486</f>
        <v>83919000</v>
      </c>
      <c r="I486" s="7" t="n">
        <f aca="false">H486-IF(가정!$B$7=1,가정!$B$5,0)</f>
        <v>79919000</v>
      </c>
      <c r="J486" s="7" t="n">
        <f aca="false">MAX(0,I486)*가정!$B$6</f>
        <v>71927100</v>
      </c>
      <c r="K486" s="7" t="n">
        <f aca="false">가정!$B$5+J486</f>
        <v>75927100</v>
      </c>
      <c r="L486" s="7" t="n">
        <f aca="false">H486-K486</f>
        <v>7991900</v>
      </c>
      <c r="M486" s="8" t="n">
        <f aca="false">IF(B486=0,0,K486/B486)</f>
        <v>0.544319306043444</v>
      </c>
      <c r="N486" s="7" t="n">
        <f aca="false">K486/가정!$B$8</f>
        <v>379635.5</v>
      </c>
      <c r="O486" s="7" t="n">
        <f aca="false">IF(I486&gt;0,A486,"")</f>
        <v>481</v>
      </c>
      <c r="P486" s="7" t="n">
        <f aca="false">IF(L486&gt;=0,A486,"")</f>
        <v>481</v>
      </c>
      <c r="Q486" s="7" t="n">
        <f aca="false">IF(K486&gt;=가정!$B$32,A486,"")</f>
        <v>481</v>
      </c>
      <c r="R486" s="7" t="str">
        <f aca="false">IF(MAX(0,I486)*(1-가정!$B$6)*'1억 상환'!$B$6&gt;='1억 상환'!$B$5,A486,"")</f>
        <v/>
      </c>
    </row>
    <row r="487" customFormat="false" ht="15" hidden="false" customHeight="false" outlineLevel="0" collapsed="false">
      <c r="A487" s="7" t="n">
        <v>482</v>
      </c>
      <c r="B487" s="7" t="n">
        <f aca="false">A487*가정!$B$10</f>
        <v>139780000</v>
      </c>
      <c r="C487" s="7" t="n">
        <f aca="false">가정!$B$34</f>
        <v>3590000</v>
      </c>
      <c r="D487" s="7" t="n">
        <f aca="false">ROUNDUP(MAX(0,A487-가정!$B$18)/가정!$B$19,0)</f>
        <v>9</v>
      </c>
      <c r="E487" s="7" t="n">
        <f aca="false">D487*가정!$B$20+ROUNDUP(A487/가정!$B$22,0)*가정!$B$21+ROUNDUP(A487/가정!$B$24,0)*가정!$B$23</f>
        <v>51500000</v>
      </c>
      <c r="F487" s="7" t="n">
        <f aca="false">A487*가정!$B$26+B487*가정!$B$27</f>
        <v>482000</v>
      </c>
      <c r="G487" s="7" t="n">
        <f aca="false">B487*가정!$B$28</f>
        <v>0</v>
      </c>
      <c r="H487" s="7" t="n">
        <f aca="false">B487-C487-E487-F487-G487</f>
        <v>84208000</v>
      </c>
      <c r="I487" s="7" t="n">
        <f aca="false">H487-IF(가정!$B$7=1,가정!$B$5,0)</f>
        <v>80208000</v>
      </c>
      <c r="J487" s="7" t="n">
        <f aca="false">MAX(0,I487)*가정!$B$6</f>
        <v>72187200</v>
      </c>
      <c r="K487" s="7" t="n">
        <f aca="false">가정!$B$5+J487</f>
        <v>76187200</v>
      </c>
      <c r="L487" s="7" t="n">
        <f aca="false">H487-K487</f>
        <v>8020800</v>
      </c>
      <c r="M487" s="8" t="n">
        <f aca="false">IF(B487=0,0,K487/B487)</f>
        <v>0.545050794105022</v>
      </c>
      <c r="N487" s="7" t="n">
        <f aca="false">K487/가정!$B$8</f>
        <v>380936</v>
      </c>
      <c r="O487" s="7" t="n">
        <f aca="false">IF(I487&gt;0,A487,"")</f>
        <v>482</v>
      </c>
      <c r="P487" s="7" t="n">
        <f aca="false">IF(L487&gt;=0,A487,"")</f>
        <v>482</v>
      </c>
      <c r="Q487" s="7" t="n">
        <f aca="false">IF(K487&gt;=가정!$B$32,A487,"")</f>
        <v>482</v>
      </c>
      <c r="R487" s="7" t="str">
        <f aca="false">IF(MAX(0,I487)*(1-가정!$B$6)*'1억 상환'!$B$6&gt;='1억 상환'!$B$5,A487,"")</f>
        <v/>
      </c>
    </row>
    <row r="488" customFormat="false" ht="15" hidden="false" customHeight="false" outlineLevel="0" collapsed="false">
      <c r="A488" s="7" t="n">
        <v>483</v>
      </c>
      <c r="B488" s="7" t="n">
        <f aca="false">A488*가정!$B$10</f>
        <v>140070000</v>
      </c>
      <c r="C488" s="7" t="n">
        <f aca="false">가정!$B$34</f>
        <v>3590000</v>
      </c>
      <c r="D488" s="7" t="n">
        <f aca="false">ROUNDUP(MAX(0,A488-가정!$B$18)/가정!$B$19,0)</f>
        <v>9</v>
      </c>
      <c r="E488" s="7" t="n">
        <f aca="false">D488*가정!$B$20+ROUNDUP(A488/가정!$B$22,0)*가정!$B$21+ROUNDUP(A488/가정!$B$24,0)*가정!$B$23</f>
        <v>51500000</v>
      </c>
      <c r="F488" s="7" t="n">
        <f aca="false">A488*가정!$B$26+B488*가정!$B$27</f>
        <v>483000</v>
      </c>
      <c r="G488" s="7" t="n">
        <f aca="false">B488*가정!$B$28</f>
        <v>0</v>
      </c>
      <c r="H488" s="7" t="n">
        <f aca="false">B488-C488-E488-F488-G488</f>
        <v>84497000</v>
      </c>
      <c r="I488" s="7" t="n">
        <f aca="false">H488-IF(가정!$B$7=1,가정!$B$5,0)</f>
        <v>80497000</v>
      </c>
      <c r="J488" s="7" t="n">
        <f aca="false">MAX(0,I488)*가정!$B$6</f>
        <v>72447300</v>
      </c>
      <c r="K488" s="7" t="n">
        <f aca="false">가정!$B$5+J488</f>
        <v>76447300</v>
      </c>
      <c r="L488" s="7" t="n">
        <f aca="false">H488-K488</f>
        <v>8049700</v>
      </c>
      <c r="M488" s="8" t="n">
        <f aca="false">IF(B488=0,0,K488/B488)</f>
        <v>0.545779253230528</v>
      </c>
      <c r="N488" s="7" t="n">
        <f aca="false">K488/가정!$B$8</f>
        <v>382236.5</v>
      </c>
      <c r="O488" s="7" t="n">
        <f aca="false">IF(I488&gt;0,A488,"")</f>
        <v>483</v>
      </c>
      <c r="P488" s="7" t="n">
        <f aca="false">IF(L488&gt;=0,A488,"")</f>
        <v>483</v>
      </c>
      <c r="Q488" s="7" t="n">
        <f aca="false">IF(K488&gt;=가정!$B$32,A488,"")</f>
        <v>483</v>
      </c>
      <c r="R488" s="7" t="str">
        <f aca="false">IF(MAX(0,I488)*(1-가정!$B$6)*'1억 상환'!$B$6&gt;='1억 상환'!$B$5,A488,"")</f>
        <v/>
      </c>
    </row>
    <row r="489" customFormat="false" ht="15" hidden="false" customHeight="false" outlineLevel="0" collapsed="false">
      <c r="A489" s="7" t="n">
        <v>484</v>
      </c>
      <c r="B489" s="7" t="n">
        <f aca="false">A489*가정!$B$10</f>
        <v>140360000</v>
      </c>
      <c r="C489" s="7" t="n">
        <f aca="false">가정!$B$34</f>
        <v>3590000</v>
      </c>
      <c r="D489" s="7" t="n">
        <f aca="false">ROUNDUP(MAX(0,A489-가정!$B$18)/가정!$B$19,0)</f>
        <v>9</v>
      </c>
      <c r="E489" s="7" t="n">
        <f aca="false">D489*가정!$B$20+ROUNDUP(A489/가정!$B$22,0)*가정!$B$21+ROUNDUP(A489/가정!$B$24,0)*가정!$B$23</f>
        <v>51500000</v>
      </c>
      <c r="F489" s="7" t="n">
        <f aca="false">A489*가정!$B$26+B489*가정!$B$27</f>
        <v>484000</v>
      </c>
      <c r="G489" s="7" t="n">
        <f aca="false">B489*가정!$B$28</f>
        <v>0</v>
      </c>
      <c r="H489" s="7" t="n">
        <f aca="false">B489-C489-E489-F489-G489</f>
        <v>84786000</v>
      </c>
      <c r="I489" s="7" t="n">
        <f aca="false">H489-IF(가정!$B$7=1,가정!$B$5,0)</f>
        <v>80786000</v>
      </c>
      <c r="J489" s="7" t="n">
        <f aca="false">MAX(0,I489)*가정!$B$6</f>
        <v>72707400</v>
      </c>
      <c r="K489" s="7" t="n">
        <f aca="false">가정!$B$5+J489</f>
        <v>76707400</v>
      </c>
      <c r="L489" s="7" t="n">
        <f aca="false">H489-K489</f>
        <v>8078600</v>
      </c>
      <c r="M489" s="8" t="n">
        <f aca="false">IF(B489=0,0,K489/B489)</f>
        <v>0.546504702194357</v>
      </c>
      <c r="N489" s="7" t="n">
        <f aca="false">K489/가정!$B$8</f>
        <v>383537</v>
      </c>
      <c r="O489" s="7" t="n">
        <f aca="false">IF(I489&gt;0,A489,"")</f>
        <v>484</v>
      </c>
      <c r="P489" s="7" t="n">
        <f aca="false">IF(L489&gt;=0,A489,"")</f>
        <v>484</v>
      </c>
      <c r="Q489" s="7" t="n">
        <f aca="false">IF(K489&gt;=가정!$B$32,A489,"")</f>
        <v>484</v>
      </c>
      <c r="R489" s="7" t="str">
        <f aca="false">IF(MAX(0,I489)*(1-가정!$B$6)*'1억 상환'!$B$6&gt;='1억 상환'!$B$5,A489,"")</f>
        <v/>
      </c>
    </row>
    <row r="490" customFormat="false" ht="15" hidden="false" customHeight="false" outlineLevel="0" collapsed="false">
      <c r="A490" s="7" t="n">
        <v>485</v>
      </c>
      <c r="B490" s="7" t="n">
        <f aca="false">A490*가정!$B$10</f>
        <v>140650000</v>
      </c>
      <c r="C490" s="7" t="n">
        <f aca="false">가정!$B$34</f>
        <v>3590000</v>
      </c>
      <c r="D490" s="7" t="n">
        <f aca="false">ROUNDUP(MAX(0,A490-가정!$B$18)/가정!$B$19,0)</f>
        <v>9</v>
      </c>
      <c r="E490" s="7" t="n">
        <f aca="false">D490*가정!$B$20+ROUNDUP(A490/가정!$B$22,0)*가정!$B$21+ROUNDUP(A490/가정!$B$24,0)*가정!$B$23</f>
        <v>51500000</v>
      </c>
      <c r="F490" s="7" t="n">
        <f aca="false">A490*가정!$B$26+B490*가정!$B$27</f>
        <v>485000</v>
      </c>
      <c r="G490" s="7" t="n">
        <f aca="false">B490*가정!$B$28</f>
        <v>0</v>
      </c>
      <c r="H490" s="7" t="n">
        <f aca="false">B490-C490-E490-F490-G490</f>
        <v>85075000</v>
      </c>
      <c r="I490" s="7" t="n">
        <f aca="false">H490-IF(가정!$B$7=1,가정!$B$5,0)</f>
        <v>81075000</v>
      </c>
      <c r="J490" s="7" t="n">
        <f aca="false">MAX(0,I490)*가정!$B$6</f>
        <v>72967500</v>
      </c>
      <c r="K490" s="7" t="n">
        <f aca="false">가정!$B$5+J490</f>
        <v>76967500</v>
      </c>
      <c r="L490" s="7" t="n">
        <f aca="false">H490-K490</f>
        <v>8107500</v>
      </c>
      <c r="M490" s="8" t="n">
        <f aca="false">IF(B490=0,0,K490/B490)</f>
        <v>0.547227159616068</v>
      </c>
      <c r="N490" s="7" t="n">
        <f aca="false">K490/가정!$B$8</f>
        <v>384837.5</v>
      </c>
      <c r="O490" s="7" t="n">
        <f aca="false">IF(I490&gt;0,A490,"")</f>
        <v>485</v>
      </c>
      <c r="P490" s="7" t="n">
        <f aca="false">IF(L490&gt;=0,A490,"")</f>
        <v>485</v>
      </c>
      <c r="Q490" s="7" t="n">
        <f aca="false">IF(K490&gt;=가정!$B$32,A490,"")</f>
        <v>485</v>
      </c>
      <c r="R490" s="7" t="str">
        <f aca="false">IF(MAX(0,I490)*(1-가정!$B$6)*'1억 상환'!$B$6&gt;='1억 상환'!$B$5,A490,"")</f>
        <v/>
      </c>
    </row>
    <row r="491" customFormat="false" ht="15" hidden="false" customHeight="false" outlineLevel="0" collapsed="false">
      <c r="A491" s="7" t="n">
        <v>486</v>
      </c>
      <c r="B491" s="7" t="n">
        <f aca="false">A491*가정!$B$10</f>
        <v>140940000</v>
      </c>
      <c r="C491" s="7" t="n">
        <f aca="false">가정!$B$34</f>
        <v>3590000</v>
      </c>
      <c r="D491" s="7" t="n">
        <f aca="false">ROUNDUP(MAX(0,A491-가정!$B$18)/가정!$B$19,0)</f>
        <v>9</v>
      </c>
      <c r="E491" s="7" t="n">
        <f aca="false">D491*가정!$B$20+ROUNDUP(A491/가정!$B$22,0)*가정!$B$21+ROUNDUP(A491/가정!$B$24,0)*가정!$B$23</f>
        <v>51500000</v>
      </c>
      <c r="F491" s="7" t="n">
        <f aca="false">A491*가정!$B$26+B491*가정!$B$27</f>
        <v>486000</v>
      </c>
      <c r="G491" s="7" t="n">
        <f aca="false">B491*가정!$B$28</f>
        <v>0</v>
      </c>
      <c r="H491" s="7" t="n">
        <f aca="false">B491-C491-E491-F491-G491</f>
        <v>85364000</v>
      </c>
      <c r="I491" s="7" t="n">
        <f aca="false">H491-IF(가정!$B$7=1,가정!$B$5,0)</f>
        <v>81364000</v>
      </c>
      <c r="J491" s="7" t="n">
        <f aca="false">MAX(0,I491)*가정!$B$6</f>
        <v>73227600</v>
      </c>
      <c r="K491" s="7" t="n">
        <f aca="false">가정!$B$5+J491</f>
        <v>77227600</v>
      </c>
      <c r="L491" s="7" t="n">
        <f aca="false">H491-K491</f>
        <v>8136400</v>
      </c>
      <c r="M491" s="8" t="n">
        <f aca="false">IF(B491=0,0,K491/B491)</f>
        <v>0.54794664396197</v>
      </c>
      <c r="N491" s="7" t="n">
        <f aca="false">K491/가정!$B$8</f>
        <v>386138</v>
      </c>
      <c r="O491" s="7" t="n">
        <f aca="false">IF(I491&gt;0,A491,"")</f>
        <v>486</v>
      </c>
      <c r="P491" s="7" t="n">
        <f aca="false">IF(L491&gt;=0,A491,"")</f>
        <v>486</v>
      </c>
      <c r="Q491" s="7" t="n">
        <f aca="false">IF(K491&gt;=가정!$B$32,A491,"")</f>
        <v>486</v>
      </c>
      <c r="R491" s="7" t="str">
        <f aca="false">IF(MAX(0,I491)*(1-가정!$B$6)*'1억 상환'!$B$6&gt;='1억 상환'!$B$5,A491,"")</f>
        <v/>
      </c>
    </row>
    <row r="492" customFormat="false" ht="15" hidden="false" customHeight="false" outlineLevel="0" collapsed="false">
      <c r="A492" s="7" t="n">
        <v>487</v>
      </c>
      <c r="B492" s="7" t="n">
        <f aca="false">A492*가정!$B$10</f>
        <v>141230000</v>
      </c>
      <c r="C492" s="7" t="n">
        <f aca="false">가정!$B$34</f>
        <v>3590000</v>
      </c>
      <c r="D492" s="7" t="n">
        <f aca="false">ROUNDUP(MAX(0,A492-가정!$B$18)/가정!$B$19,0)</f>
        <v>9</v>
      </c>
      <c r="E492" s="7" t="n">
        <f aca="false">D492*가정!$B$20+ROUNDUP(A492/가정!$B$22,0)*가정!$B$21+ROUNDUP(A492/가정!$B$24,0)*가정!$B$23</f>
        <v>51500000</v>
      </c>
      <c r="F492" s="7" t="n">
        <f aca="false">A492*가정!$B$26+B492*가정!$B$27</f>
        <v>487000</v>
      </c>
      <c r="G492" s="7" t="n">
        <f aca="false">B492*가정!$B$28</f>
        <v>0</v>
      </c>
      <c r="H492" s="7" t="n">
        <f aca="false">B492-C492-E492-F492-G492</f>
        <v>85653000</v>
      </c>
      <c r="I492" s="7" t="n">
        <f aca="false">H492-IF(가정!$B$7=1,가정!$B$5,0)</f>
        <v>81653000</v>
      </c>
      <c r="J492" s="7" t="n">
        <f aca="false">MAX(0,I492)*가정!$B$6</f>
        <v>73487700</v>
      </c>
      <c r="K492" s="7" t="n">
        <f aca="false">가정!$B$5+J492</f>
        <v>77487700</v>
      </c>
      <c r="L492" s="7" t="n">
        <f aca="false">H492-K492</f>
        <v>8165300</v>
      </c>
      <c r="M492" s="8" t="n">
        <f aca="false">IF(B492=0,0,K492/B492)</f>
        <v>0.548663173546697</v>
      </c>
      <c r="N492" s="7" t="n">
        <f aca="false">K492/가정!$B$8</f>
        <v>387438.5</v>
      </c>
      <c r="O492" s="7" t="n">
        <f aca="false">IF(I492&gt;0,A492,"")</f>
        <v>487</v>
      </c>
      <c r="P492" s="7" t="n">
        <f aca="false">IF(L492&gt;=0,A492,"")</f>
        <v>487</v>
      </c>
      <c r="Q492" s="7" t="n">
        <f aca="false">IF(K492&gt;=가정!$B$32,A492,"")</f>
        <v>487</v>
      </c>
      <c r="R492" s="7" t="str">
        <f aca="false">IF(MAX(0,I492)*(1-가정!$B$6)*'1억 상환'!$B$6&gt;='1억 상환'!$B$5,A492,"")</f>
        <v/>
      </c>
    </row>
    <row r="493" customFormat="false" ht="15" hidden="false" customHeight="false" outlineLevel="0" collapsed="false">
      <c r="A493" s="7" t="n">
        <v>488</v>
      </c>
      <c r="B493" s="7" t="n">
        <f aca="false">A493*가정!$B$10</f>
        <v>141520000</v>
      </c>
      <c r="C493" s="7" t="n">
        <f aca="false">가정!$B$34</f>
        <v>3590000</v>
      </c>
      <c r="D493" s="7" t="n">
        <f aca="false">ROUNDUP(MAX(0,A493-가정!$B$18)/가정!$B$19,0)</f>
        <v>9</v>
      </c>
      <c r="E493" s="7" t="n">
        <f aca="false">D493*가정!$B$20+ROUNDUP(A493/가정!$B$22,0)*가정!$B$21+ROUNDUP(A493/가정!$B$24,0)*가정!$B$23</f>
        <v>51500000</v>
      </c>
      <c r="F493" s="7" t="n">
        <f aca="false">A493*가정!$B$26+B493*가정!$B$27</f>
        <v>488000</v>
      </c>
      <c r="G493" s="7" t="n">
        <f aca="false">B493*가정!$B$28</f>
        <v>0</v>
      </c>
      <c r="H493" s="7" t="n">
        <f aca="false">B493-C493-E493-F493-G493</f>
        <v>85942000</v>
      </c>
      <c r="I493" s="7" t="n">
        <f aca="false">H493-IF(가정!$B$7=1,가정!$B$5,0)</f>
        <v>81942000</v>
      </c>
      <c r="J493" s="7" t="n">
        <f aca="false">MAX(0,I493)*가정!$B$6</f>
        <v>73747800</v>
      </c>
      <c r="K493" s="7" t="n">
        <f aca="false">가정!$B$5+J493</f>
        <v>77747800</v>
      </c>
      <c r="L493" s="7" t="n">
        <f aca="false">H493-K493</f>
        <v>8194200</v>
      </c>
      <c r="M493" s="8" t="n">
        <f aca="false">IF(B493=0,0,K493/B493)</f>
        <v>0.549376766534765</v>
      </c>
      <c r="N493" s="7" t="n">
        <f aca="false">K493/가정!$B$8</f>
        <v>388739</v>
      </c>
      <c r="O493" s="7" t="n">
        <f aca="false">IF(I493&gt;0,A493,"")</f>
        <v>488</v>
      </c>
      <c r="P493" s="7" t="n">
        <f aca="false">IF(L493&gt;=0,A493,"")</f>
        <v>488</v>
      </c>
      <c r="Q493" s="7" t="n">
        <f aca="false">IF(K493&gt;=가정!$B$32,A493,"")</f>
        <v>488</v>
      </c>
      <c r="R493" s="7" t="str">
        <f aca="false">IF(MAX(0,I493)*(1-가정!$B$6)*'1억 상환'!$B$6&gt;='1억 상환'!$B$5,A493,"")</f>
        <v/>
      </c>
    </row>
    <row r="494" customFormat="false" ht="15" hidden="false" customHeight="false" outlineLevel="0" collapsed="false">
      <c r="A494" s="7" t="n">
        <v>489</v>
      </c>
      <c r="B494" s="7" t="n">
        <f aca="false">A494*가정!$B$10</f>
        <v>141810000</v>
      </c>
      <c r="C494" s="7" t="n">
        <f aca="false">가정!$B$34</f>
        <v>3590000</v>
      </c>
      <c r="D494" s="7" t="n">
        <f aca="false">ROUNDUP(MAX(0,A494-가정!$B$18)/가정!$B$19,0)</f>
        <v>9</v>
      </c>
      <c r="E494" s="7" t="n">
        <f aca="false">D494*가정!$B$20+ROUNDUP(A494/가정!$B$22,0)*가정!$B$21+ROUNDUP(A494/가정!$B$24,0)*가정!$B$23</f>
        <v>51500000</v>
      </c>
      <c r="F494" s="7" t="n">
        <f aca="false">A494*가정!$B$26+B494*가정!$B$27</f>
        <v>489000</v>
      </c>
      <c r="G494" s="7" t="n">
        <f aca="false">B494*가정!$B$28</f>
        <v>0</v>
      </c>
      <c r="H494" s="7" t="n">
        <f aca="false">B494-C494-E494-F494-G494</f>
        <v>86231000</v>
      </c>
      <c r="I494" s="7" t="n">
        <f aca="false">H494-IF(가정!$B$7=1,가정!$B$5,0)</f>
        <v>82231000</v>
      </c>
      <c r="J494" s="7" t="n">
        <f aca="false">MAX(0,I494)*가정!$B$6</f>
        <v>74007900</v>
      </c>
      <c r="K494" s="7" t="n">
        <f aca="false">가정!$B$5+J494</f>
        <v>78007900</v>
      </c>
      <c r="L494" s="7" t="n">
        <f aca="false">H494-K494</f>
        <v>8223100</v>
      </c>
      <c r="M494" s="8" t="n">
        <f aca="false">IF(B494=0,0,K494/B494)</f>
        <v>0.550087440942106</v>
      </c>
      <c r="N494" s="7" t="n">
        <f aca="false">K494/가정!$B$8</f>
        <v>390039.5</v>
      </c>
      <c r="O494" s="7" t="n">
        <f aca="false">IF(I494&gt;0,A494,"")</f>
        <v>489</v>
      </c>
      <c r="P494" s="7" t="n">
        <f aca="false">IF(L494&gt;=0,A494,"")</f>
        <v>489</v>
      </c>
      <c r="Q494" s="7" t="n">
        <f aca="false">IF(K494&gt;=가정!$B$32,A494,"")</f>
        <v>489</v>
      </c>
      <c r="R494" s="7" t="str">
        <f aca="false">IF(MAX(0,I494)*(1-가정!$B$6)*'1억 상환'!$B$6&gt;='1억 상환'!$B$5,A494,"")</f>
        <v/>
      </c>
    </row>
    <row r="495" customFormat="false" ht="15" hidden="false" customHeight="false" outlineLevel="0" collapsed="false">
      <c r="A495" s="7" t="n">
        <v>490</v>
      </c>
      <c r="B495" s="7" t="n">
        <f aca="false">A495*가정!$B$10</f>
        <v>142100000</v>
      </c>
      <c r="C495" s="7" t="n">
        <f aca="false">가정!$B$34</f>
        <v>3590000</v>
      </c>
      <c r="D495" s="7" t="n">
        <f aca="false">ROUNDUP(MAX(0,A495-가정!$B$18)/가정!$B$19,0)</f>
        <v>9</v>
      </c>
      <c r="E495" s="7" t="n">
        <f aca="false">D495*가정!$B$20+ROUNDUP(A495/가정!$B$22,0)*가정!$B$21+ROUNDUP(A495/가정!$B$24,0)*가정!$B$23</f>
        <v>51500000</v>
      </c>
      <c r="F495" s="7" t="n">
        <f aca="false">A495*가정!$B$26+B495*가정!$B$27</f>
        <v>490000</v>
      </c>
      <c r="G495" s="7" t="n">
        <f aca="false">B495*가정!$B$28</f>
        <v>0</v>
      </c>
      <c r="H495" s="7" t="n">
        <f aca="false">B495-C495-E495-F495-G495</f>
        <v>86520000</v>
      </c>
      <c r="I495" s="7" t="n">
        <f aca="false">H495-IF(가정!$B$7=1,가정!$B$5,0)</f>
        <v>82520000</v>
      </c>
      <c r="J495" s="7" t="n">
        <f aca="false">MAX(0,I495)*가정!$B$6</f>
        <v>74268000</v>
      </c>
      <c r="K495" s="7" t="n">
        <f aca="false">가정!$B$5+J495</f>
        <v>78268000</v>
      </c>
      <c r="L495" s="7" t="n">
        <f aca="false">H495-K495</f>
        <v>8252000</v>
      </c>
      <c r="M495" s="8" t="n">
        <f aca="false">IF(B495=0,0,K495/B495)</f>
        <v>0.550795214637579</v>
      </c>
      <c r="N495" s="7" t="n">
        <f aca="false">K495/가정!$B$8</f>
        <v>391340</v>
      </c>
      <c r="O495" s="7" t="n">
        <f aca="false">IF(I495&gt;0,A495,"")</f>
        <v>490</v>
      </c>
      <c r="P495" s="7" t="n">
        <f aca="false">IF(L495&gt;=0,A495,"")</f>
        <v>490</v>
      </c>
      <c r="Q495" s="7" t="n">
        <f aca="false">IF(K495&gt;=가정!$B$32,A495,"")</f>
        <v>490</v>
      </c>
      <c r="R495" s="7" t="str">
        <f aca="false">IF(MAX(0,I495)*(1-가정!$B$6)*'1억 상환'!$B$6&gt;='1억 상환'!$B$5,A495,"")</f>
        <v/>
      </c>
    </row>
    <row r="496" customFormat="false" ht="15" hidden="false" customHeight="false" outlineLevel="0" collapsed="false">
      <c r="A496" s="7" t="n">
        <v>491</v>
      </c>
      <c r="B496" s="7" t="n">
        <f aca="false">A496*가정!$B$10</f>
        <v>142390000</v>
      </c>
      <c r="C496" s="7" t="n">
        <f aca="false">가정!$B$34</f>
        <v>3590000</v>
      </c>
      <c r="D496" s="7" t="n">
        <f aca="false">ROUNDUP(MAX(0,A496-가정!$B$18)/가정!$B$19,0)</f>
        <v>9</v>
      </c>
      <c r="E496" s="7" t="n">
        <f aca="false">D496*가정!$B$20+ROUNDUP(A496/가정!$B$22,0)*가정!$B$21+ROUNDUP(A496/가정!$B$24,0)*가정!$B$23</f>
        <v>51500000</v>
      </c>
      <c r="F496" s="7" t="n">
        <f aca="false">A496*가정!$B$26+B496*가정!$B$27</f>
        <v>491000</v>
      </c>
      <c r="G496" s="7" t="n">
        <f aca="false">B496*가정!$B$28</f>
        <v>0</v>
      </c>
      <c r="H496" s="7" t="n">
        <f aca="false">B496-C496-E496-F496-G496</f>
        <v>86809000</v>
      </c>
      <c r="I496" s="7" t="n">
        <f aca="false">H496-IF(가정!$B$7=1,가정!$B$5,0)</f>
        <v>82809000</v>
      </c>
      <c r="J496" s="7" t="n">
        <f aca="false">MAX(0,I496)*가정!$B$6</f>
        <v>74528100</v>
      </c>
      <c r="K496" s="7" t="n">
        <f aca="false">가정!$B$5+J496</f>
        <v>78528100</v>
      </c>
      <c r="L496" s="7" t="n">
        <f aca="false">H496-K496</f>
        <v>8280900</v>
      </c>
      <c r="M496" s="8" t="n">
        <f aca="false">IF(B496=0,0,K496/B496)</f>
        <v>0.551500105344477</v>
      </c>
      <c r="N496" s="7" t="n">
        <f aca="false">K496/가정!$B$8</f>
        <v>392640.5</v>
      </c>
      <c r="O496" s="7" t="n">
        <f aca="false">IF(I496&gt;0,A496,"")</f>
        <v>491</v>
      </c>
      <c r="P496" s="7" t="n">
        <f aca="false">IF(L496&gt;=0,A496,"")</f>
        <v>491</v>
      </c>
      <c r="Q496" s="7" t="n">
        <f aca="false">IF(K496&gt;=가정!$B$32,A496,"")</f>
        <v>491</v>
      </c>
      <c r="R496" s="7" t="str">
        <f aca="false">IF(MAX(0,I496)*(1-가정!$B$6)*'1억 상환'!$B$6&gt;='1억 상환'!$B$5,A496,"")</f>
        <v/>
      </c>
    </row>
    <row r="497" customFormat="false" ht="15" hidden="false" customHeight="false" outlineLevel="0" collapsed="false">
      <c r="A497" s="7" t="n">
        <v>492</v>
      </c>
      <c r="B497" s="7" t="n">
        <f aca="false">A497*가정!$B$10</f>
        <v>142680000</v>
      </c>
      <c r="C497" s="7" t="n">
        <f aca="false">가정!$B$34</f>
        <v>3590000</v>
      </c>
      <c r="D497" s="7" t="n">
        <f aca="false">ROUNDUP(MAX(0,A497-가정!$B$18)/가정!$B$19,0)</f>
        <v>9</v>
      </c>
      <c r="E497" s="7" t="n">
        <f aca="false">D497*가정!$B$20+ROUNDUP(A497/가정!$B$22,0)*가정!$B$21+ROUNDUP(A497/가정!$B$24,0)*가정!$B$23</f>
        <v>51500000</v>
      </c>
      <c r="F497" s="7" t="n">
        <f aca="false">A497*가정!$B$26+B497*가정!$B$27</f>
        <v>492000</v>
      </c>
      <c r="G497" s="7" t="n">
        <f aca="false">B497*가정!$B$28</f>
        <v>0</v>
      </c>
      <c r="H497" s="7" t="n">
        <f aca="false">B497-C497-E497-F497-G497</f>
        <v>87098000</v>
      </c>
      <c r="I497" s="7" t="n">
        <f aca="false">H497-IF(가정!$B$7=1,가정!$B$5,0)</f>
        <v>83098000</v>
      </c>
      <c r="J497" s="7" t="n">
        <f aca="false">MAX(0,I497)*가정!$B$6</f>
        <v>74788200</v>
      </c>
      <c r="K497" s="7" t="n">
        <f aca="false">가정!$B$5+J497</f>
        <v>78788200</v>
      </c>
      <c r="L497" s="7" t="n">
        <f aca="false">H497-K497</f>
        <v>8309800</v>
      </c>
      <c r="M497" s="8" t="n">
        <f aca="false">IF(B497=0,0,K497/B497)</f>
        <v>0.552202130641996</v>
      </c>
      <c r="N497" s="7" t="n">
        <f aca="false">K497/가정!$B$8</f>
        <v>393941</v>
      </c>
      <c r="O497" s="7" t="n">
        <f aca="false">IF(I497&gt;0,A497,"")</f>
        <v>492</v>
      </c>
      <c r="P497" s="7" t="n">
        <f aca="false">IF(L497&gt;=0,A497,"")</f>
        <v>492</v>
      </c>
      <c r="Q497" s="7" t="n">
        <f aca="false">IF(K497&gt;=가정!$B$32,A497,"")</f>
        <v>492</v>
      </c>
      <c r="R497" s="7" t="str">
        <f aca="false">IF(MAX(0,I497)*(1-가정!$B$6)*'1억 상환'!$B$6&gt;='1억 상환'!$B$5,A497,"")</f>
        <v/>
      </c>
    </row>
    <row r="498" customFormat="false" ht="15" hidden="false" customHeight="false" outlineLevel="0" collapsed="false">
      <c r="A498" s="7" t="n">
        <v>493</v>
      </c>
      <c r="B498" s="7" t="n">
        <f aca="false">A498*가정!$B$10</f>
        <v>142970000</v>
      </c>
      <c r="C498" s="7" t="n">
        <f aca="false">가정!$B$34</f>
        <v>3590000</v>
      </c>
      <c r="D498" s="7" t="n">
        <f aca="false">ROUNDUP(MAX(0,A498-가정!$B$18)/가정!$B$19,0)</f>
        <v>9</v>
      </c>
      <c r="E498" s="7" t="n">
        <f aca="false">D498*가정!$B$20+ROUNDUP(A498/가정!$B$22,0)*가정!$B$21+ROUNDUP(A498/가정!$B$24,0)*가정!$B$23</f>
        <v>51500000</v>
      </c>
      <c r="F498" s="7" t="n">
        <f aca="false">A498*가정!$B$26+B498*가정!$B$27</f>
        <v>493000</v>
      </c>
      <c r="G498" s="7" t="n">
        <f aca="false">B498*가정!$B$28</f>
        <v>0</v>
      </c>
      <c r="H498" s="7" t="n">
        <f aca="false">B498-C498-E498-F498-G498</f>
        <v>87387000</v>
      </c>
      <c r="I498" s="7" t="n">
        <f aca="false">H498-IF(가정!$B$7=1,가정!$B$5,0)</f>
        <v>83387000</v>
      </c>
      <c r="J498" s="7" t="n">
        <f aca="false">MAX(0,I498)*가정!$B$6</f>
        <v>75048300</v>
      </c>
      <c r="K498" s="7" t="n">
        <f aca="false">가정!$B$5+J498</f>
        <v>79048300</v>
      </c>
      <c r="L498" s="7" t="n">
        <f aca="false">H498-K498</f>
        <v>8338700</v>
      </c>
      <c r="M498" s="8" t="n">
        <f aca="false">IF(B498=0,0,K498/B498)</f>
        <v>0.552901307966706</v>
      </c>
      <c r="N498" s="7" t="n">
        <f aca="false">K498/가정!$B$8</f>
        <v>395241.5</v>
      </c>
      <c r="O498" s="7" t="n">
        <f aca="false">IF(I498&gt;0,A498,"")</f>
        <v>493</v>
      </c>
      <c r="P498" s="7" t="n">
        <f aca="false">IF(L498&gt;=0,A498,"")</f>
        <v>493</v>
      </c>
      <c r="Q498" s="7" t="n">
        <f aca="false">IF(K498&gt;=가정!$B$32,A498,"")</f>
        <v>493</v>
      </c>
      <c r="R498" s="7" t="n">
        <f aca="false">IF(MAX(0,I498)*(1-가정!$B$6)*'1억 상환'!$B$6&gt;='1억 상환'!$B$5,A498,"")</f>
        <v>493</v>
      </c>
    </row>
    <row r="499" customFormat="false" ht="15" hidden="false" customHeight="false" outlineLevel="0" collapsed="false">
      <c r="A499" s="7" t="n">
        <v>494</v>
      </c>
      <c r="B499" s="7" t="n">
        <f aca="false">A499*가정!$B$10</f>
        <v>143260000</v>
      </c>
      <c r="C499" s="7" t="n">
        <f aca="false">가정!$B$34</f>
        <v>3590000</v>
      </c>
      <c r="D499" s="7" t="n">
        <f aca="false">ROUNDUP(MAX(0,A499-가정!$B$18)/가정!$B$19,0)</f>
        <v>9</v>
      </c>
      <c r="E499" s="7" t="n">
        <f aca="false">D499*가정!$B$20+ROUNDUP(A499/가정!$B$22,0)*가정!$B$21+ROUNDUP(A499/가정!$B$24,0)*가정!$B$23</f>
        <v>51500000</v>
      </c>
      <c r="F499" s="7" t="n">
        <f aca="false">A499*가정!$B$26+B499*가정!$B$27</f>
        <v>494000</v>
      </c>
      <c r="G499" s="7" t="n">
        <f aca="false">B499*가정!$B$28</f>
        <v>0</v>
      </c>
      <c r="H499" s="7" t="n">
        <f aca="false">B499-C499-E499-F499-G499</f>
        <v>87676000</v>
      </c>
      <c r="I499" s="7" t="n">
        <f aca="false">H499-IF(가정!$B$7=1,가정!$B$5,0)</f>
        <v>83676000</v>
      </c>
      <c r="J499" s="7" t="n">
        <f aca="false">MAX(0,I499)*가정!$B$6</f>
        <v>75308400</v>
      </c>
      <c r="K499" s="7" t="n">
        <f aca="false">가정!$B$5+J499</f>
        <v>79308400</v>
      </c>
      <c r="L499" s="7" t="n">
        <f aca="false">H499-K499</f>
        <v>8367600</v>
      </c>
      <c r="M499" s="8" t="n">
        <f aca="false">IF(B499=0,0,K499/B499)</f>
        <v>0.553597654613989</v>
      </c>
      <c r="N499" s="7" t="n">
        <f aca="false">K499/가정!$B$8</f>
        <v>396542</v>
      </c>
      <c r="O499" s="7" t="n">
        <f aca="false">IF(I499&gt;0,A499,"")</f>
        <v>494</v>
      </c>
      <c r="P499" s="7" t="n">
        <f aca="false">IF(L499&gt;=0,A499,"")</f>
        <v>494</v>
      </c>
      <c r="Q499" s="7" t="n">
        <f aca="false">IF(K499&gt;=가정!$B$32,A499,"")</f>
        <v>494</v>
      </c>
      <c r="R499" s="7" t="n">
        <f aca="false">IF(MAX(0,I499)*(1-가정!$B$6)*'1억 상환'!$B$6&gt;='1억 상환'!$B$5,A499,"")</f>
        <v>494</v>
      </c>
    </row>
    <row r="500" customFormat="false" ht="15" hidden="false" customHeight="false" outlineLevel="0" collapsed="false">
      <c r="A500" s="7" t="n">
        <v>495</v>
      </c>
      <c r="B500" s="7" t="n">
        <f aca="false">A500*가정!$B$10</f>
        <v>143550000</v>
      </c>
      <c r="C500" s="7" t="n">
        <f aca="false">가정!$B$34</f>
        <v>3590000</v>
      </c>
      <c r="D500" s="7" t="n">
        <f aca="false">ROUNDUP(MAX(0,A500-가정!$B$18)/가정!$B$19,0)</f>
        <v>9</v>
      </c>
      <c r="E500" s="7" t="n">
        <f aca="false">D500*가정!$B$20+ROUNDUP(A500/가정!$B$22,0)*가정!$B$21+ROUNDUP(A500/가정!$B$24,0)*가정!$B$23</f>
        <v>51500000</v>
      </c>
      <c r="F500" s="7" t="n">
        <f aca="false">A500*가정!$B$26+B500*가정!$B$27</f>
        <v>495000</v>
      </c>
      <c r="G500" s="7" t="n">
        <f aca="false">B500*가정!$B$28</f>
        <v>0</v>
      </c>
      <c r="H500" s="7" t="n">
        <f aca="false">B500-C500-E500-F500-G500</f>
        <v>87965000</v>
      </c>
      <c r="I500" s="7" t="n">
        <f aca="false">H500-IF(가정!$B$7=1,가정!$B$5,0)</f>
        <v>83965000</v>
      </c>
      <c r="J500" s="7" t="n">
        <f aca="false">MAX(0,I500)*가정!$B$6</f>
        <v>75568500</v>
      </c>
      <c r="K500" s="7" t="n">
        <f aca="false">가정!$B$5+J500</f>
        <v>79568500</v>
      </c>
      <c r="L500" s="7" t="n">
        <f aca="false">H500-K500</f>
        <v>8396500</v>
      </c>
      <c r="M500" s="8" t="n">
        <f aca="false">IF(B500=0,0,K500/B500)</f>
        <v>0.554291187739464</v>
      </c>
      <c r="N500" s="7" t="n">
        <f aca="false">K500/가정!$B$8</f>
        <v>397842.5</v>
      </c>
      <c r="O500" s="7" t="n">
        <f aca="false">IF(I500&gt;0,A500,"")</f>
        <v>495</v>
      </c>
      <c r="P500" s="7" t="n">
        <f aca="false">IF(L500&gt;=0,A500,"")</f>
        <v>495</v>
      </c>
      <c r="Q500" s="7" t="n">
        <f aca="false">IF(K500&gt;=가정!$B$32,A500,"")</f>
        <v>495</v>
      </c>
      <c r="R500" s="7" t="n">
        <f aca="false">IF(MAX(0,I500)*(1-가정!$B$6)*'1억 상환'!$B$6&gt;='1억 상환'!$B$5,A500,"")</f>
        <v>495</v>
      </c>
    </row>
    <row r="501" customFormat="false" ht="15" hidden="false" customHeight="false" outlineLevel="0" collapsed="false">
      <c r="A501" s="7" t="n">
        <v>496</v>
      </c>
      <c r="B501" s="7" t="n">
        <f aca="false">A501*가정!$B$10</f>
        <v>143840000</v>
      </c>
      <c r="C501" s="7" t="n">
        <f aca="false">가정!$B$34</f>
        <v>3590000</v>
      </c>
      <c r="D501" s="7" t="n">
        <f aca="false">ROUNDUP(MAX(0,A501-가정!$B$18)/가정!$B$19,0)</f>
        <v>9</v>
      </c>
      <c r="E501" s="7" t="n">
        <f aca="false">D501*가정!$B$20+ROUNDUP(A501/가정!$B$22,0)*가정!$B$21+ROUNDUP(A501/가정!$B$24,0)*가정!$B$23</f>
        <v>51500000</v>
      </c>
      <c r="F501" s="7" t="n">
        <f aca="false">A501*가정!$B$26+B501*가정!$B$27</f>
        <v>496000</v>
      </c>
      <c r="G501" s="7" t="n">
        <f aca="false">B501*가정!$B$28</f>
        <v>0</v>
      </c>
      <c r="H501" s="7" t="n">
        <f aca="false">B501-C501-E501-F501-G501</f>
        <v>88254000</v>
      </c>
      <c r="I501" s="7" t="n">
        <f aca="false">H501-IF(가정!$B$7=1,가정!$B$5,0)</f>
        <v>84254000</v>
      </c>
      <c r="J501" s="7" t="n">
        <f aca="false">MAX(0,I501)*가정!$B$6</f>
        <v>75828600</v>
      </c>
      <c r="K501" s="7" t="n">
        <f aca="false">가정!$B$5+J501</f>
        <v>79828600</v>
      </c>
      <c r="L501" s="7" t="n">
        <f aca="false">H501-K501</f>
        <v>8425400</v>
      </c>
      <c r="M501" s="8" t="n">
        <f aca="false">IF(B501=0,0,K501/B501)</f>
        <v>0.5549819243604</v>
      </c>
      <c r="N501" s="7" t="n">
        <f aca="false">K501/가정!$B$8</f>
        <v>399143</v>
      </c>
      <c r="O501" s="7" t="n">
        <f aca="false">IF(I501&gt;0,A501,"")</f>
        <v>496</v>
      </c>
      <c r="P501" s="7" t="n">
        <f aca="false">IF(L501&gt;=0,A501,"")</f>
        <v>496</v>
      </c>
      <c r="Q501" s="7" t="n">
        <f aca="false">IF(K501&gt;=가정!$B$32,A501,"")</f>
        <v>496</v>
      </c>
      <c r="R501" s="7" t="n">
        <f aca="false">IF(MAX(0,I501)*(1-가정!$B$6)*'1억 상환'!$B$6&gt;='1억 상환'!$B$5,A501,"")</f>
        <v>496</v>
      </c>
    </row>
    <row r="502" customFormat="false" ht="15" hidden="false" customHeight="false" outlineLevel="0" collapsed="false">
      <c r="A502" s="7" t="n">
        <v>497</v>
      </c>
      <c r="B502" s="7" t="n">
        <f aca="false">A502*가정!$B$10</f>
        <v>144130000</v>
      </c>
      <c r="C502" s="7" t="n">
        <f aca="false">가정!$B$34</f>
        <v>3590000</v>
      </c>
      <c r="D502" s="7" t="n">
        <f aca="false">ROUNDUP(MAX(0,A502-가정!$B$18)/가정!$B$19,0)</f>
        <v>9</v>
      </c>
      <c r="E502" s="7" t="n">
        <f aca="false">D502*가정!$B$20+ROUNDUP(A502/가정!$B$22,0)*가정!$B$21+ROUNDUP(A502/가정!$B$24,0)*가정!$B$23</f>
        <v>51500000</v>
      </c>
      <c r="F502" s="7" t="n">
        <f aca="false">A502*가정!$B$26+B502*가정!$B$27</f>
        <v>497000</v>
      </c>
      <c r="G502" s="7" t="n">
        <f aca="false">B502*가정!$B$28</f>
        <v>0</v>
      </c>
      <c r="H502" s="7" t="n">
        <f aca="false">B502-C502-E502-F502-G502</f>
        <v>88543000</v>
      </c>
      <c r="I502" s="7" t="n">
        <f aca="false">H502-IF(가정!$B$7=1,가정!$B$5,0)</f>
        <v>84543000</v>
      </c>
      <c r="J502" s="7" t="n">
        <f aca="false">MAX(0,I502)*가정!$B$6</f>
        <v>76088700</v>
      </c>
      <c r="K502" s="7" t="n">
        <f aca="false">가정!$B$5+J502</f>
        <v>80088700</v>
      </c>
      <c r="L502" s="7" t="n">
        <f aca="false">H502-K502</f>
        <v>8454300</v>
      </c>
      <c r="M502" s="8" t="n">
        <f aca="false">IF(B502=0,0,K502/B502)</f>
        <v>0.555669881357108</v>
      </c>
      <c r="N502" s="7" t="n">
        <f aca="false">K502/가정!$B$8</f>
        <v>400443.5</v>
      </c>
      <c r="O502" s="7" t="n">
        <f aca="false">IF(I502&gt;0,A502,"")</f>
        <v>497</v>
      </c>
      <c r="P502" s="7" t="n">
        <f aca="false">IF(L502&gt;=0,A502,"")</f>
        <v>497</v>
      </c>
      <c r="Q502" s="7" t="n">
        <f aca="false">IF(K502&gt;=가정!$B$32,A502,"")</f>
        <v>497</v>
      </c>
      <c r="R502" s="7" t="n">
        <f aca="false">IF(MAX(0,I502)*(1-가정!$B$6)*'1억 상환'!$B$6&gt;='1억 상환'!$B$5,A502,"")</f>
        <v>497</v>
      </c>
    </row>
    <row r="503" customFormat="false" ht="15" hidden="false" customHeight="false" outlineLevel="0" collapsed="false">
      <c r="A503" s="7" t="n">
        <v>498</v>
      </c>
      <c r="B503" s="7" t="n">
        <f aca="false">A503*가정!$B$10</f>
        <v>144420000</v>
      </c>
      <c r="C503" s="7" t="n">
        <f aca="false">가정!$B$34</f>
        <v>3590000</v>
      </c>
      <c r="D503" s="7" t="n">
        <f aca="false">ROUNDUP(MAX(0,A503-가정!$B$18)/가정!$B$19,0)</f>
        <v>9</v>
      </c>
      <c r="E503" s="7" t="n">
        <f aca="false">D503*가정!$B$20+ROUNDUP(A503/가정!$B$22,0)*가정!$B$21+ROUNDUP(A503/가정!$B$24,0)*가정!$B$23</f>
        <v>51500000</v>
      </c>
      <c r="F503" s="7" t="n">
        <f aca="false">A503*가정!$B$26+B503*가정!$B$27</f>
        <v>498000</v>
      </c>
      <c r="G503" s="7" t="n">
        <f aca="false">B503*가정!$B$28</f>
        <v>0</v>
      </c>
      <c r="H503" s="7" t="n">
        <f aca="false">B503-C503-E503-F503-G503</f>
        <v>88832000</v>
      </c>
      <c r="I503" s="7" t="n">
        <f aca="false">H503-IF(가정!$B$7=1,가정!$B$5,0)</f>
        <v>84832000</v>
      </c>
      <c r="J503" s="7" t="n">
        <f aca="false">MAX(0,I503)*가정!$B$6</f>
        <v>76348800</v>
      </c>
      <c r="K503" s="7" t="n">
        <f aca="false">가정!$B$5+J503</f>
        <v>80348800</v>
      </c>
      <c r="L503" s="7" t="n">
        <f aca="false">H503-K503</f>
        <v>8483200</v>
      </c>
      <c r="M503" s="8" t="n">
        <f aca="false">IF(B503=0,0,K503/B503)</f>
        <v>0.556355075474311</v>
      </c>
      <c r="N503" s="7" t="n">
        <f aca="false">K503/가정!$B$8</f>
        <v>401744</v>
      </c>
      <c r="O503" s="7" t="n">
        <f aca="false">IF(I503&gt;0,A503,"")</f>
        <v>498</v>
      </c>
      <c r="P503" s="7" t="n">
        <f aca="false">IF(L503&gt;=0,A503,"")</f>
        <v>498</v>
      </c>
      <c r="Q503" s="7" t="n">
        <f aca="false">IF(K503&gt;=가정!$B$32,A503,"")</f>
        <v>498</v>
      </c>
      <c r="R503" s="7" t="n">
        <f aca="false">IF(MAX(0,I503)*(1-가정!$B$6)*'1억 상환'!$B$6&gt;='1억 상환'!$B$5,A503,"")</f>
        <v>498</v>
      </c>
    </row>
    <row r="504" customFormat="false" ht="15" hidden="false" customHeight="false" outlineLevel="0" collapsed="false">
      <c r="A504" s="7" t="n">
        <v>499</v>
      </c>
      <c r="B504" s="7" t="n">
        <f aca="false">A504*가정!$B$10</f>
        <v>144710000</v>
      </c>
      <c r="C504" s="7" t="n">
        <f aca="false">가정!$B$34</f>
        <v>3590000</v>
      </c>
      <c r="D504" s="7" t="n">
        <f aca="false">ROUNDUP(MAX(0,A504-가정!$B$18)/가정!$B$19,0)</f>
        <v>9</v>
      </c>
      <c r="E504" s="7" t="n">
        <f aca="false">D504*가정!$B$20+ROUNDUP(A504/가정!$B$22,0)*가정!$B$21+ROUNDUP(A504/가정!$B$24,0)*가정!$B$23</f>
        <v>51500000</v>
      </c>
      <c r="F504" s="7" t="n">
        <f aca="false">A504*가정!$B$26+B504*가정!$B$27</f>
        <v>499000</v>
      </c>
      <c r="G504" s="7" t="n">
        <f aca="false">B504*가정!$B$28</f>
        <v>0</v>
      </c>
      <c r="H504" s="7" t="n">
        <f aca="false">B504-C504-E504-F504-G504</f>
        <v>89121000</v>
      </c>
      <c r="I504" s="7" t="n">
        <f aca="false">H504-IF(가정!$B$7=1,가정!$B$5,0)</f>
        <v>85121000</v>
      </c>
      <c r="J504" s="7" t="n">
        <f aca="false">MAX(0,I504)*가정!$B$6</f>
        <v>76608900</v>
      </c>
      <c r="K504" s="7" t="n">
        <f aca="false">가정!$B$5+J504</f>
        <v>80608900</v>
      </c>
      <c r="L504" s="7" t="n">
        <f aca="false">H504-K504</f>
        <v>8512100</v>
      </c>
      <c r="M504" s="8" t="n">
        <f aca="false">IF(B504=0,0,K504/B504)</f>
        <v>0.557037523322507</v>
      </c>
      <c r="N504" s="7" t="n">
        <f aca="false">K504/가정!$B$8</f>
        <v>403044.5</v>
      </c>
      <c r="O504" s="7" t="n">
        <f aca="false">IF(I504&gt;0,A504,"")</f>
        <v>499</v>
      </c>
      <c r="P504" s="7" t="n">
        <f aca="false">IF(L504&gt;=0,A504,"")</f>
        <v>499</v>
      </c>
      <c r="Q504" s="7" t="n">
        <f aca="false">IF(K504&gt;=가정!$B$32,A504,"")</f>
        <v>499</v>
      </c>
      <c r="R504" s="7" t="n">
        <f aca="false">IF(MAX(0,I504)*(1-가정!$B$6)*'1억 상환'!$B$6&gt;='1억 상환'!$B$5,A504,"")</f>
        <v>499</v>
      </c>
    </row>
    <row r="505" customFormat="false" ht="15" hidden="false" customHeight="false" outlineLevel="0" collapsed="false">
      <c r="A505" s="7" t="n">
        <v>500</v>
      </c>
      <c r="B505" s="7" t="n">
        <f aca="false">A505*가정!$B$10</f>
        <v>145000000</v>
      </c>
      <c r="C505" s="7" t="n">
        <f aca="false">가정!$B$34</f>
        <v>3590000</v>
      </c>
      <c r="D505" s="7" t="n">
        <f aca="false">ROUNDUP(MAX(0,A505-가정!$B$18)/가정!$B$19,0)</f>
        <v>9</v>
      </c>
      <c r="E505" s="7" t="n">
        <f aca="false">D505*가정!$B$20+ROUNDUP(A505/가정!$B$22,0)*가정!$B$21+ROUNDUP(A505/가정!$B$24,0)*가정!$B$23</f>
        <v>51500000</v>
      </c>
      <c r="F505" s="7" t="n">
        <f aca="false">A505*가정!$B$26+B505*가정!$B$27</f>
        <v>500000</v>
      </c>
      <c r="G505" s="7" t="n">
        <f aca="false">B505*가정!$B$28</f>
        <v>0</v>
      </c>
      <c r="H505" s="7" t="n">
        <f aca="false">B505-C505-E505-F505-G505</f>
        <v>89410000</v>
      </c>
      <c r="I505" s="7" t="n">
        <f aca="false">H505-IF(가정!$B$7=1,가정!$B$5,0)</f>
        <v>85410000</v>
      </c>
      <c r="J505" s="7" t="n">
        <f aca="false">MAX(0,I505)*가정!$B$6</f>
        <v>76869000</v>
      </c>
      <c r="K505" s="7" t="n">
        <f aca="false">가정!$B$5+J505</f>
        <v>80869000</v>
      </c>
      <c r="L505" s="7" t="n">
        <f aca="false">H505-K505</f>
        <v>8541000</v>
      </c>
      <c r="M505" s="8" t="n">
        <f aca="false">IF(B505=0,0,K505/B505)</f>
        <v>0.55771724137931</v>
      </c>
      <c r="N505" s="7" t="n">
        <f aca="false">K505/가정!$B$8</f>
        <v>404345</v>
      </c>
      <c r="O505" s="7" t="n">
        <f aca="false">IF(I505&gt;0,A505,"")</f>
        <v>500</v>
      </c>
      <c r="P505" s="7" t="n">
        <f aca="false">IF(L505&gt;=0,A505,"")</f>
        <v>500</v>
      </c>
      <c r="Q505" s="7" t="n">
        <f aca="false">IF(K505&gt;=가정!$B$32,A505,"")</f>
        <v>500</v>
      </c>
      <c r="R505" s="7" t="n">
        <f aca="false">IF(MAX(0,I505)*(1-가정!$B$6)*'1억 상환'!$B$6&gt;='1억 상환'!$B$5,A505,"")</f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3"/>
  </cols>
  <sheetData>
    <row r="1" customFormat="false" ht="19.4" hidden="false" customHeight="false" outlineLevel="0" collapsed="false">
      <c r="A1" s="1" t="s">
        <v>131</v>
      </c>
    </row>
    <row r="2" customFormat="false" ht="15" hidden="false" customHeight="false" outlineLevel="0" collapsed="false">
      <c r="A2" s="13" t="s">
        <v>132</v>
      </c>
    </row>
    <row r="4" customFormat="false" ht="15" hidden="false" customHeight="false" outlineLevel="0" collapsed="false">
      <c r="A4" s="24" t="s">
        <v>133</v>
      </c>
      <c r="B4" s="25" t="n">
        <v>0</v>
      </c>
      <c r="C4" s="25" t="n">
        <v>20</v>
      </c>
      <c r="D4" s="25" t="n">
        <v>40</v>
      </c>
      <c r="E4" s="25" t="n">
        <v>60</v>
      </c>
      <c r="F4" s="25" t="n">
        <v>80</v>
      </c>
      <c r="G4" s="25" t="n">
        <v>100</v>
      </c>
      <c r="H4" s="25" t="n">
        <v>120</v>
      </c>
      <c r="I4" s="25" t="n">
        <v>150</v>
      </c>
      <c r="J4" s="25" t="n">
        <v>200</v>
      </c>
      <c r="K4" s="25" t="n">
        <v>250</v>
      </c>
      <c r="L4" s="25" t="n">
        <v>300</v>
      </c>
      <c r="M4" s="25" t="n">
        <v>400</v>
      </c>
      <c r="N4" s="25" t="n">
        <v>500</v>
      </c>
    </row>
    <row r="5" customFormat="false" ht="15" hidden="false" customHeight="false" outlineLevel="0" collapsed="false">
      <c r="A5" s="26" t="n">
        <v>0</v>
      </c>
      <c r="B5" s="7" t="n">
        <f aca="false">가정!$B$5+MAX(0,INDEX(학생수별!$I$5:$I$505,MATCH(B$4,학생수별!$A$5:$A$505,0)))*$A5</f>
        <v>4000000</v>
      </c>
      <c r="C5" s="7" t="n">
        <f aca="false">가정!$B$5+MAX(0,INDEX(학생수별!$I$5:$I$505,MATCH(C$4,학생수별!$A$5:$A$505,0)))*$A5</f>
        <v>4000000</v>
      </c>
      <c r="D5" s="7" t="n">
        <f aca="false">가정!$B$5+MAX(0,INDEX(학생수별!$I$5:$I$505,MATCH(D$4,학생수별!$A$5:$A$505,0)))*$A5</f>
        <v>4000000</v>
      </c>
      <c r="E5" s="7" t="n">
        <f aca="false">가정!$B$5+MAX(0,INDEX(학생수별!$I$5:$I$505,MATCH(E$4,학생수별!$A$5:$A$505,0)))*$A5</f>
        <v>4000000</v>
      </c>
      <c r="F5" s="7" t="n">
        <f aca="false">가정!$B$5+MAX(0,INDEX(학생수별!$I$5:$I$505,MATCH(F$4,학생수별!$A$5:$A$505,0)))*$A5</f>
        <v>4000000</v>
      </c>
      <c r="G5" s="7" t="n">
        <f aca="false">가정!$B$5+MAX(0,INDEX(학생수별!$I$5:$I$505,MATCH(G$4,학생수별!$A$5:$A$505,0)))*$A5</f>
        <v>4000000</v>
      </c>
      <c r="H5" s="7" t="n">
        <f aca="false">가정!$B$5+MAX(0,INDEX(학생수별!$I$5:$I$505,MATCH(H$4,학생수별!$A$5:$A$505,0)))*$A5</f>
        <v>4000000</v>
      </c>
      <c r="I5" s="7" t="n">
        <f aca="false">가정!$B$5+MAX(0,INDEX(학생수별!$I$5:$I$505,MATCH(I$4,학생수별!$A$5:$A$505,0)))*$A5</f>
        <v>4000000</v>
      </c>
      <c r="J5" s="7" t="n">
        <f aca="false">가정!$B$5+MAX(0,INDEX(학생수별!$I$5:$I$505,MATCH(J$4,학생수별!$A$5:$A$505,0)))*$A5</f>
        <v>4000000</v>
      </c>
      <c r="K5" s="7" t="n">
        <f aca="false">가정!$B$5+MAX(0,INDEX(학생수별!$I$5:$I$505,MATCH(K$4,학생수별!$A$5:$A$505,0)))*$A5</f>
        <v>4000000</v>
      </c>
      <c r="L5" s="7" t="n">
        <f aca="false">가정!$B$5+MAX(0,INDEX(학생수별!$I$5:$I$505,MATCH(L$4,학생수별!$A$5:$A$505,0)))*$A5</f>
        <v>4000000</v>
      </c>
      <c r="M5" s="7" t="n">
        <f aca="false">가정!$B$5+MAX(0,INDEX(학생수별!$I$5:$I$505,MATCH(M$4,학생수별!$A$5:$A$505,0)))*$A5</f>
        <v>4000000</v>
      </c>
      <c r="N5" s="7" t="n">
        <f aca="false">가정!$B$5+MAX(0,INDEX(학생수별!$I$5:$I$505,MATCH(N$4,학생수별!$A$5:$A$505,0)))*$A5</f>
        <v>4000000</v>
      </c>
    </row>
    <row r="6" customFormat="false" ht="15" hidden="false" customHeight="false" outlineLevel="0" collapsed="false">
      <c r="A6" s="26" t="n">
        <v>0.1</v>
      </c>
      <c r="B6" s="7" t="n">
        <f aca="false">가정!$B$5+MAX(0,INDEX(학생수별!$I$5:$I$505,MATCH(B$4,학생수별!$A$5:$A$505,0)))*$A6</f>
        <v>4000000</v>
      </c>
      <c r="C6" s="7" t="n">
        <f aca="false">가정!$B$5+MAX(0,INDEX(학생수별!$I$5:$I$505,MATCH(C$4,학생수별!$A$5:$A$505,0)))*$A6</f>
        <v>4000000</v>
      </c>
      <c r="D6" s="7" t="n">
        <f aca="false">가정!$B$5+MAX(0,INDEX(학생수별!$I$5:$I$505,MATCH(D$4,학생수별!$A$5:$A$505,0)))*$A6</f>
        <v>4000000</v>
      </c>
      <c r="E6" s="7" t="n">
        <f aca="false">가정!$B$5+MAX(0,INDEX(학생수별!$I$5:$I$505,MATCH(E$4,학생수별!$A$5:$A$505,0)))*$A6</f>
        <v>4185000</v>
      </c>
      <c r="F6" s="7" t="n">
        <f aca="false">가정!$B$5+MAX(0,INDEX(학생수별!$I$5:$I$505,MATCH(F$4,학생수별!$A$5:$A$505,0)))*$A6</f>
        <v>4313000</v>
      </c>
      <c r="G6" s="7" t="n">
        <f aca="false">가정!$B$5+MAX(0,INDEX(학생수별!$I$5:$I$505,MATCH(G$4,학생수별!$A$5:$A$505,0)))*$A6</f>
        <v>4891000</v>
      </c>
      <c r="H6" s="7" t="n">
        <f aca="false">가정!$B$5+MAX(0,INDEX(학생수별!$I$5:$I$505,MATCH(H$4,학생수별!$A$5:$A$505,0)))*$A6</f>
        <v>5429000</v>
      </c>
      <c r="I6" s="7" t="n">
        <f aca="false">가정!$B$5+MAX(0,INDEX(학생수별!$I$5:$I$505,MATCH(I$4,학생수별!$A$5:$A$505,0)))*$A6</f>
        <v>5846000</v>
      </c>
      <c r="J6" s="7" t="n">
        <f aca="false">가정!$B$5+MAX(0,INDEX(학생수별!$I$5:$I$505,MATCH(J$4,학생수별!$A$5:$A$505,0)))*$A6</f>
        <v>6841000</v>
      </c>
      <c r="K6" s="7" t="n">
        <f aca="false">가정!$B$5+MAX(0,INDEX(학생수별!$I$5:$I$505,MATCH(K$4,학생수별!$A$5:$A$505,0)))*$A6</f>
        <v>7496000</v>
      </c>
      <c r="L6" s="7" t="n">
        <f aca="false">가정!$B$5+MAX(0,INDEX(학생수별!$I$5:$I$505,MATCH(L$4,학생수별!$A$5:$A$505,0)))*$A6</f>
        <v>8941000</v>
      </c>
      <c r="M6" s="7" t="n">
        <f aca="false">가정!$B$5+MAX(0,INDEX(학생수별!$I$5:$I$505,MATCH(M$4,학생수별!$A$5:$A$505,0)))*$A6</f>
        <v>10891000</v>
      </c>
      <c r="N6" s="7" t="n">
        <f aca="false">가정!$B$5+MAX(0,INDEX(학생수별!$I$5:$I$505,MATCH(N$4,학생수별!$A$5:$A$505,0)))*$A6</f>
        <v>12541000</v>
      </c>
    </row>
    <row r="7" customFormat="false" ht="15" hidden="false" customHeight="false" outlineLevel="0" collapsed="false">
      <c r="A7" s="26" t="n">
        <v>0.15</v>
      </c>
      <c r="B7" s="7" t="n">
        <f aca="false">가정!$B$5+MAX(0,INDEX(학생수별!$I$5:$I$505,MATCH(B$4,학생수별!$A$5:$A$505,0)))*$A7</f>
        <v>4000000</v>
      </c>
      <c r="C7" s="7" t="n">
        <f aca="false">가정!$B$5+MAX(0,INDEX(학생수별!$I$5:$I$505,MATCH(C$4,학생수별!$A$5:$A$505,0)))*$A7</f>
        <v>4000000</v>
      </c>
      <c r="D7" s="7" t="n">
        <f aca="false">가정!$B$5+MAX(0,INDEX(학생수별!$I$5:$I$505,MATCH(D$4,학생수별!$A$5:$A$505,0)))*$A7</f>
        <v>4000000</v>
      </c>
      <c r="E7" s="7" t="n">
        <f aca="false">가정!$B$5+MAX(0,INDEX(학생수별!$I$5:$I$505,MATCH(E$4,학생수별!$A$5:$A$505,0)))*$A7</f>
        <v>4277500</v>
      </c>
      <c r="F7" s="7" t="n">
        <f aca="false">가정!$B$5+MAX(0,INDEX(학생수별!$I$5:$I$505,MATCH(F$4,학생수별!$A$5:$A$505,0)))*$A7</f>
        <v>4469500</v>
      </c>
      <c r="G7" s="7" t="n">
        <f aca="false">가정!$B$5+MAX(0,INDEX(학생수별!$I$5:$I$505,MATCH(G$4,학생수별!$A$5:$A$505,0)))*$A7</f>
        <v>5336500</v>
      </c>
      <c r="H7" s="7" t="n">
        <f aca="false">가정!$B$5+MAX(0,INDEX(학생수별!$I$5:$I$505,MATCH(H$4,학생수별!$A$5:$A$505,0)))*$A7</f>
        <v>6143500</v>
      </c>
      <c r="I7" s="7" t="n">
        <f aca="false">가정!$B$5+MAX(0,INDEX(학생수별!$I$5:$I$505,MATCH(I$4,학생수별!$A$5:$A$505,0)))*$A7</f>
        <v>6769000</v>
      </c>
      <c r="J7" s="7" t="n">
        <f aca="false">가정!$B$5+MAX(0,INDEX(학생수별!$I$5:$I$505,MATCH(J$4,학생수별!$A$5:$A$505,0)))*$A7</f>
        <v>8261500</v>
      </c>
      <c r="K7" s="7" t="n">
        <f aca="false">가정!$B$5+MAX(0,INDEX(학생수별!$I$5:$I$505,MATCH(K$4,학생수별!$A$5:$A$505,0)))*$A7</f>
        <v>9244000</v>
      </c>
      <c r="L7" s="7" t="n">
        <f aca="false">가정!$B$5+MAX(0,INDEX(학생수별!$I$5:$I$505,MATCH(L$4,학생수별!$A$5:$A$505,0)))*$A7</f>
        <v>11411500</v>
      </c>
      <c r="M7" s="7" t="n">
        <f aca="false">가정!$B$5+MAX(0,INDEX(학생수별!$I$5:$I$505,MATCH(M$4,학생수별!$A$5:$A$505,0)))*$A7</f>
        <v>14336500</v>
      </c>
      <c r="N7" s="7" t="n">
        <f aca="false">가정!$B$5+MAX(0,INDEX(학생수별!$I$5:$I$505,MATCH(N$4,학생수별!$A$5:$A$505,0)))*$A7</f>
        <v>16811500</v>
      </c>
    </row>
    <row r="8" customFormat="false" ht="15" hidden="false" customHeight="false" outlineLevel="0" collapsed="false">
      <c r="A8" s="26" t="n">
        <v>0.2</v>
      </c>
      <c r="B8" s="7" t="n">
        <f aca="false">가정!$B$5+MAX(0,INDEX(학생수별!$I$5:$I$505,MATCH(B$4,학생수별!$A$5:$A$505,0)))*$A8</f>
        <v>4000000</v>
      </c>
      <c r="C8" s="7" t="n">
        <f aca="false">가정!$B$5+MAX(0,INDEX(학생수별!$I$5:$I$505,MATCH(C$4,학생수별!$A$5:$A$505,0)))*$A8</f>
        <v>4000000</v>
      </c>
      <c r="D8" s="7" t="n">
        <f aca="false">가정!$B$5+MAX(0,INDEX(학생수별!$I$5:$I$505,MATCH(D$4,학생수별!$A$5:$A$505,0)))*$A8</f>
        <v>4000000</v>
      </c>
      <c r="E8" s="7" t="n">
        <f aca="false">가정!$B$5+MAX(0,INDEX(학생수별!$I$5:$I$505,MATCH(E$4,학생수별!$A$5:$A$505,0)))*$A8</f>
        <v>4370000</v>
      </c>
      <c r="F8" s="7" t="n">
        <f aca="false">가정!$B$5+MAX(0,INDEX(학생수별!$I$5:$I$505,MATCH(F$4,학생수별!$A$5:$A$505,0)))*$A8</f>
        <v>4626000</v>
      </c>
      <c r="G8" s="7" t="n">
        <f aca="false">가정!$B$5+MAX(0,INDEX(학생수별!$I$5:$I$505,MATCH(G$4,학생수별!$A$5:$A$505,0)))*$A8</f>
        <v>5782000</v>
      </c>
      <c r="H8" s="7" t="n">
        <f aca="false">가정!$B$5+MAX(0,INDEX(학생수별!$I$5:$I$505,MATCH(H$4,학생수별!$A$5:$A$505,0)))*$A8</f>
        <v>6858000</v>
      </c>
      <c r="I8" s="7" t="n">
        <f aca="false">가정!$B$5+MAX(0,INDEX(학생수별!$I$5:$I$505,MATCH(I$4,학생수별!$A$5:$A$505,0)))*$A8</f>
        <v>7692000</v>
      </c>
      <c r="J8" s="7" t="n">
        <f aca="false">가정!$B$5+MAX(0,INDEX(학생수별!$I$5:$I$505,MATCH(J$4,학생수별!$A$5:$A$505,0)))*$A8</f>
        <v>9682000</v>
      </c>
      <c r="K8" s="7" t="n">
        <f aca="false">가정!$B$5+MAX(0,INDEX(학생수별!$I$5:$I$505,MATCH(K$4,학생수별!$A$5:$A$505,0)))*$A8</f>
        <v>10992000</v>
      </c>
      <c r="L8" s="7" t="n">
        <f aca="false">가정!$B$5+MAX(0,INDEX(학생수별!$I$5:$I$505,MATCH(L$4,학생수별!$A$5:$A$505,0)))*$A8</f>
        <v>13882000</v>
      </c>
      <c r="M8" s="7" t="n">
        <f aca="false">가정!$B$5+MAX(0,INDEX(학생수별!$I$5:$I$505,MATCH(M$4,학생수별!$A$5:$A$505,0)))*$A8</f>
        <v>17782000</v>
      </c>
      <c r="N8" s="7" t="n">
        <f aca="false">가정!$B$5+MAX(0,INDEX(학생수별!$I$5:$I$505,MATCH(N$4,학생수별!$A$5:$A$505,0)))*$A8</f>
        <v>21082000</v>
      </c>
    </row>
    <row r="9" customFormat="false" ht="15" hidden="false" customHeight="false" outlineLevel="0" collapsed="false">
      <c r="A9" s="26" t="n">
        <v>0.25</v>
      </c>
      <c r="B9" s="7" t="n">
        <f aca="false">가정!$B$5+MAX(0,INDEX(학생수별!$I$5:$I$505,MATCH(B$4,학생수별!$A$5:$A$505,0)))*$A9</f>
        <v>4000000</v>
      </c>
      <c r="C9" s="7" t="n">
        <f aca="false">가정!$B$5+MAX(0,INDEX(학생수별!$I$5:$I$505,MATCH(C$4,학생수별!$A$5:$A$505,0)))*$A9</f>
        <v>4000000</v>
      </c>
      <c r="D9" s="7" t="n">
        <f aca="false">가정!$B$5+MAX(0,INDEX(학생수별!$I$5:$I$505,MATCH(D$4,학생수별!$A$5:$A$505,0)))*$A9</f>
        <v>4000000</v>
      </c>
      <c r="E9" s="7" t="n">
        <f aca="false">가정!$B$5+MAX(0,INDEX(학생수별!$I$5:$I$505,MATCH(E$4,학생수별!$A$5:$A$505,0)))*$A9</f>
        <v>4462500</v>
      </c>
      <c r="F9" s="7" t="n">
        <f aca="false">가정!$B$5+MAX(0,INDEX(학생수별!$I$5:$I$505,MATCH(F$4,학생수별!$A$5:$A$505,0)))*$A9</f>
        <v>4782500</v>
      </c>
      <c r="G9" s="7" t="n">
        <f aca="false">가정!$B$5+MAX(0,INDEX(학생수별!$I$5:$I$505,MATCH(G$4,학생수별!$A$5:$A$505,0)))*$A9</f>
        <v>6227500</v>
      </c>
      <c r="H9" s="7" t="n">
        <f aca="false">가정!$B$5+MAX(0,INDEX(학생수별!$I$5:$I$505,MATCH(H$4,학생수별!$A$5:$A$505,0)))*$A9</f>
        <v>7572500</v>
      </c>
      <c r="I9" s="7" t="n">
        <f aca="false">가정!$B$5+MAX(0,INDEX(학생수별!$I$5:$I$505,MATCH(I$4,학생수별!$A$5:$A$505,0)))*$A9</f>
        <v>8615000</v>
      </c>
      <c r="J9" s="7" t="n">
        <f aca="false">가정!$B$5+MAX(0,INDEX(학생수별!$I$5:$I$505,MATCH(J$4,학생수별!$A$5:$A$505,0)))*$A9</f>
        <v>11102500</v>
      </c>
      <c r="K9" s="7" t="n">
        <f aca="false">가정!$B$5+MAX(0,INDEX(학생수별!$I$5:$I$505,MATCH(K$4,학생수별!$A$5:$A$505,0)))*$A9</f>
        <v>12740000</v>
      </c>
      <c r="L9" s="7" t="n">
        <f aca="false">가정!$B$5+MAX(0,INDEX(학생수별!$I$5:$I$505,MATCH(L$4,학생수별!$A$5:$A$505,0)))*$A9</f>
        <v>16352500</v>
      </c>
      <c r="M9" s="7" t="n">
        <f aca="false">가정!$B$5+MAX(0,INDEX(학생수별!$I$5:$I$505,MATCH(M$4,학생수별!$A$5:$A$505,0)))*$A9</f>
        <v>21227500</v>
      </c>
      <c r="N9" s="7" t="n">
        <f aca="false">가정!$B$5+MAX(0,INDEX(학생수별!$I$5:$I$505,MATCH(N$4,학생수별!$A$5:$A$505,0)))*$A9</f>
        <v>25352500</v>
      </c>
    </row>
    <row r="10" customFormat="false" ht="15" hidden="false" customHeight="false" outlineLevel="0" collapsed="false">
      <c r="A10" s="26" t="n">
        <v>0.3</v>
      </c>
      <c r="B10" s="7" t="n">
        <f aca="false">가정!$B$5+MAX(0,INDEX(학생수별!$I$5:$I$505,MATCH(B$4,학생수별!$A$5:$A$505,0)))*$A10</f>
        <v>4000000</v>
      </c>
      <c r="C10" s="7" t="n">
        <f aca="false">가정!$B$5+MAX(0,INDEX(학생수별!$I$5:$I$505,MATCH(C$4,학생수별!$A$5:$A$505,0)))*$A10</f>
        <v>4000000</v>
      </c>
      <c r="D10" s="7" t="n">
        <f aca="false">가정!$B$5+MAX(0,INDEX(학생수별!$I$5:$I$505,MATCH(D$4,학생수별!$A$5:$A$505,0)))*$A10</f>
        <v>4000000</v>
      </c>
      <c r="E10" s="7" t="n">
        <f aca="false">가정!$B$5+MAX(0,INDEX(학생수별!$I$5:$I$505,MATCH(E$4,학생수별!$A$5:$A$505,0)))*$A10</f>
        <v>4555000</v>
      </c>
      <c r="F10" s="7" t="n">
        <f aca="false">가정!$B$5+MAX(0,INDEX(학생수별!$I$5:$I$505,MATCH(F$4,학생수별!$A$5:$A$505,0)))*$A10</f>
        <v>4939000</v>
      </c>
      <c r="G10" s="7" t="n">
        <f aca="false">가정!$B$5+MAX(0,INDEX(학생수별!$I$5:$I$505,MATCH(G$4,학생수별!$A$5:$A$505,0)))*$A10</f>
        <v>6673000</v>
      </c>
      <c r="H10" s="7" t="n">
        <f aca="false">가정!$B$5+MAX(0,INDEX(학생수별!$I$5:$I$505,MATCH(H$4,학생수별!$A$5:$A$505,0)))*$A10</f>
        <v>8287000</v>
      </c>
      <c r="I10" s="7" t="n">
        <f aca="false">가정!$B$5+MAX(0,INDEX(학생수별!$I$5:$I$505,MATCH(I$4,학생수별!$A$5:$A$505,0)))*$A10</f>
        <v>9538000</v>
      </c>
      <c r="J10" s="7" t="n">
        <f aca="false">가정!$B$5+MAX(0,INDEX(학생수별!$I$5:$I$505,MATCH(J$4,학생수별!$A$5:$A$505,0)))*$A10</f>
        <v>12523000</v>
      </c>
      <c r="K10" s="7" t="n">
        <f aca="false">가정!$B$5+MAX(0,INDEX(학생수별!$I$5:$I$505,MATCH(K$4,학생수별!$A$5:$A$505,0)))*$A10</f>
        <v>14488000</v>
      </c>
      <c r="L10" s="7" t="n">
        <f aca="false">가정!$B$5+MAX(0,INDEX(학생수별!$I$5:$I$505,MATCH(L$4,학생수별!$A$5:$A$505,0)))*$A10</f>
        <v>18823000</v>
      </c>
      <c r="M10" s="7" t="n">
        <f aca="false">가정!$B$5+MAX(0,INDEX(학생수별!$I$5:$I$505,MATCH(M$4,학생수별!$A$5:$A$505,0)))*$A10</f>
        <v>24673000</v>
      </c>
      <c r="N10" s="7" t="n">
        <f aca="false">가정!$B$5+MAX(0,INDEX(학생수별!$I$5:$I$505,MATCH(N$4,학생수별!$A$5:$A$505,0)))*$A10</f>
        <v>29623000</v>
      </c>
    </row>
    <row r="12" customFormat="false" ht="15" hidden="false" customHeight="false" outlineLevel="0" collapsed="false">
      <c r="A12" s="21" t="s">
        <v>134</v>
      </c>
    </row>
    <row r="13" customFormat="false" ht="15" hidden="false" customHeight="false" outlineLevel="0" collapsed="false">
      <c r="A13" s="24" t="s">
        <v>55</v>
      </c>
      <c r="B13" s="25" t="n">
        <f aca="false">B4</f>
        <v>0</v>
      </c>
      <c r="C13" s="25" t="n">
        <f aca="false">C4</f>
        <v>20</v>
      </c>
      <c r="D13" s="25" t="n">
        <f aca="false">D4</f>
        <v>40</v>
      </c>
      <c r="E13" s="25" t="n">
        <f aca="false">E4</f>
        <v>60</v>
      </c>
      <c r="F13" s="25" t="n">
        <f aca="false">F4</f>
        <v>80</v>
      </c>
      <c r="G13" s="25" t="n">
        <f aca="false">G4</f>
        <v>100</v>
      </c>
      <c r="H13" s="25" t="n">
        <f aca="false">H4</f>
        <v>120</v>
      </c>
      <c r="I13" s="25" t="n">
        <f aca="false">I4</f>
        <v>150</v>
      </c>
      <c r="J13" s="25" t="n">
        <f aca="false">J4</f>
        <v>200</v>
      </c>
      <c r="K13" s="25" t="n">
        <f aca="false">K4</f>
        <v>250</v>
      </c>
      <c r="L13" s="25" t="n">
        <f aca="false">L4</f>
        <v>300</v>
      </c>
      <c r="M13" s="25" t="n">
        <f aca="false">M4</f>
        <v>400</v>
      </c>
      <c r="N13" s="25" t="n">
        <f aca="false">N4</f>
        <v>500</v>
      </c>
    </row>
    <row r="14" customFormat="false" ht="15" hidden="false" customHeight="false" outlineLevel="0" collapsed="false">
      <c r="A14" s="4" t="s">
        <v>135</v>
      </c>
      <c r="B14" s="7" t="n">
        <f aca="false">INDEX(학생수별!$L$5:$L$505,MATCH(B$13,학생수별!$A$5:$A$505,0))</f>
        <v>-7590000</v>
      </c>
      <c r="C14" s="7" t="n">
        <f aca="false">INDEX(학생수별!$L$5:$L$505,MATCH(C$13,학생수별!$A$5:$A$505,0))</f>
        <v>-9710000</v>
      </c>
      <c r="D14" s="7" t="n">
        <f aca="false">INDEX(학생수별!$L$5:$L$505,MATCH(D$13,학생수별!$A$5:$A$505,0))</f>
        <v>-3930000</v>
      </c>
      <c r="E14" s="7" t="n">
        <f aca="false">INDEX(학생수별!$L$5:$L$505,MATCH(E$13,학생수별!$A$5:$A$505,0))</f>
        <v>185000</v>
      </c>
      <c r="F14" s="7" t="n">
        <f aca="false">INDEX(학생수별!$L$5:$L$505,MATCH(F$13,학생수별!$A$5:$A$505,0))</f>
        <v>313000</v>
      </c>
      <c r="G14" s="7" t="n">
        <f aca="false">INDEX(학생수별!$L$5:$L$505,MATCH(G$13,학생수별!$A$5:$A$505,0))</f>
        <v>891000</v>
      </c>
      <c r="H14" s="7" t="n">
        <f aca="false">INDEX(학생수별!$L$5:$L$505,MATCH(H$13,학생수별!$A$5:$A$505,0))</f>
        <v>1429000</v>
      </c>
      <c r="I14" s="7" t="n">
        <f aca="false">INDEX(학생수별!$L$5:$L$505,MATCH(I$13,학생수별!$A$5:$A$505,0))</f>
        <v>1846000</v>
      </c>
      <c r="J14" s="7" t="n">
        <f aca="false">INDEX(학생수별!$L$5:$L$505,MATCH(J$13,학생수별!$A$5:$A$505,0))</f>
        <v>2841000</v>
      </c>
      <c r="K14" s="7" t="n">
        <f aca="false">INDEX(학생수별!$L$5:$L$505,MATCH(K$13,학생수별!$A$5:$A$505,0))</f>
        <v>3496000</v>
      </c>
      <c r="L14" s="7" t="n">
        <f aca="false">INDEX(학생수별!$L$5:$L$505,MATCH(L$13,학생수별!$A$5:$A$505,0))</f>
        <v>4941000</v>
      </c>
      <c r="M14" s="7" t="n">
        <f aca="false">INDEX(학생수별!$L$5:$L$505,MATCH(M$13,학생수별!$A$5:$A$505,0))</f>
        <v>6891000</v>
      </c>
      <c r="N14" s="7" t="n">
        <f aca="false">INDEX(학생수별!$L$5:$L$505,MATCH(N$13,학생수별!$A$5:$A$505,0))</f>
        <v>8541000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2026-10-07T17:03:38Z</dcterms:created>
  <dc:creator>openpyxl</dc:creator>
  <dc:description/>
  <dc:language>en-US</dc:language>
  <cp:lastModifiedBy/>
  <dcterms:modified xsi:type="dcterms:W3CDTF">2026-10-07T17:03:38Z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